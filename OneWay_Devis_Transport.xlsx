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Devis Client" sheetId="1" state="visible" r:id="rId1"/>
    <sheet name="⚙️ Paramètres" sheetId="2" state="visible" r:id="rId2"/>
    <sheet name="🧮 Calculateur Rapide" sheetId="3" state="visible" r:id="rId3"/>
    <sheet name="📊 Historique Devis" sheetId="4" state="visible" r:id="rId4"/>
  </sheets>
  <definedNames>
    <definedName name="_xlnm.Print_Area" localSheetId="0">'📋 Devis Client'!$A$1:$J$71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&quot; Ar&quot;"/>
    <numFmt numFmtId="166" formatCode="0&quot; L/100&quot;"/>
    <numFmt numFmtId="167" formatCode="&quot;+ &quot;0%"/>
  </numFmts>
  <fonts count="29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color rgb="00E07B20"/>
      <sz val="11"/>
    </font>
    <font>
      <name val="Calibri"/>
      <b val="1"/>
      <color rgb="005B6B7F"/>
      <sz val="9"/>
    </font>
    <font>
      <name val="Calibri"/>
      <b val="1"/>
      <color rgb="001E3A5F"/>
      <sz val="10"/>
    </font>
    <font>
      <name val="Calibri"/>
      <b val="1"/>
      <color rgb="001F2937"/>
      <sz val="10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5B6B7F"/>
      <sz val="9"/>
    </font>
    <font>
      <name val="Calibri"/>
      <color rgb="001F2937"/>
      <sz val="9.5"/>
    </font>
    <font>
      <name val="Calibri"/>
      <color rgb="005B6B7F"/>
      <sz val="8.5"/>
    </font>
    <font>
      <name val="Calibri"/>
      <b val="1"/>
      <color rgb="001F2937"/>
      <sz val="9.5"/>
    </font>
    <font>
      <name val="Calibri"/>
      <b val="1"/>
      <color rgb="001E3A5F"/>
      <sz val="9.5"/>
    </font>
    <font>
      <name val="Calibri"/>
      <b val="1"/>
      <color rgb="001E3A5F"/>
      <sz val="11"/>
    </font>
    <font>
      <name val="Calibri"/>
      <color rgb="005B6B7F"/>
      <sz val="10"/>
    </font>
    <font>
      <name val="Calibri"/>
      <b val="1"/>
      <color rgb="00C0392B"/>
      <sz val="10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FFFFFF"/>
      <sz val="15"/>
    </font>
    <font>
      <name val="Calibri"/>
      <i val="1"/>
      <color rgb="005B6B7F"/>
      <sz val="9"/>
    </font>
    <font>
      <name val="Calibri"/>
      <b val="1"/>
      <color rgb="00E07B20"/>
      <sz val="10"/>
    </font>
    <font>
      <name val="Calibri"/>
      <b val="1"/>
      <color rgb="00E07B20"/>
      <sz val="11"/>
    </font>
    <font>
      <name val="Calibri"/>
      <b val="1"/>
      <color rgb="00FFFFFF"/>
      <sz val="9.5"/>
    </font>
    <font>
      <name val="Calibri"/>
      <b val="1"/>
      <color rgb="00E07B20"/>
      <sz val="9.5"/>
    </font>
    <font>
      <name val="Calibri"/>
      <color rgb="005B6B7F"/>
      <sz val="9.5"/>
    </font>
    <font>
      <name val="Calibri"/>
      <b val="1"/>
      <color rgb="00FFFFFF"/>
      <sz val="14"/>
    </font>
    <font>
      <name val="Calibri"/>
      <color rgb="001F2937"/>
      <sz val="9"/>
    </font>
  </fonts>
  <fills count="10">
    <fill>
      <patternFill/>
    </fill>
    <fill>
      <patternFill patternType="gray125"/>
    </fill>
    <fill>
      <patternFill patternType="solid">
        <fgColor rgb="00E07B20"/>
      </patternFill>
    </fill>
    <fill>
      <patternFill patternType="solid">
        <fgColor rgb="002A4A7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AF0F7"/>
      </patternFill>
    </fill>
    <fill>
      <patternFill patternType="solid">
        <fgColor rgb="00F7F9FC"/>
      </patternFill>
    </fill>
    <fill>
      <patternFill patternType="solid">
        <fgColor rgb="00F4F7FB"/>
      </patternFill>
    </fill>
    <fill>
      <patternFill patternType="solid">
        <fgColor rgb="00C86A10"/>
      </patternFill>
    </fill>
  </fills>
  <borders count="6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  <border>
      <left/>
      <right/>
      <top style="thin">
        <color rgb="00C9D4E0"/>
      </top>
      <bottom/>
      <diagonal/>
    </border>
    <border>
      <left/>
      <right style="thin">
        <color rgb="00C9D4E0"/>
      </right>
      <top style="thin">
        <color rgb="00C9D4E0"/>
      </top>
      <bottom/>
      <diagonal/>
    </border>
    <border>
      <left/>
      <right style="thin">
        <color rgb="00C9D4E0"/>
      </right>
      <top style="thin">
        <color rgb="00C9D4E0"/>
      </top>
      <bottom style="thin">
        <color rgb="00C9D4E0"/>
      </bottom>
      <diagonal/>
    </border>
    <border>
      <left/>
      <right/>
      <top style="thin">
        <color rgb="00C9D4E0"/>
      </top>
      <bottom style="thin">
        <color rgb="00C9D4E0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2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2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right" vertical="center"/>
    </xf>
    <xf numFmtId="165" fontId="13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2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165" fontId="11" fillId="7" borderId="1" applyAlignment="1" pivotButton="0" quotePrefix="0" xfId="0">
      <alignment horizontal="right" vertical="center"/>
    </xf>
    <xf numFmtId="165" fontId="13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right" vertical="center"/>
    </xf>
    <xf numFmtId="0" fontId="0" fillId="8" borderId="0" pivotButton="0" quotePrefix="0" xfId="0"/>
    <xf numFmtId="165" fontId="15" fillId="8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1" fontId="5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right" vertical="center"/>
    </xf>
    <xf numFmtId="0" fontId="18" fillId="4" borderId="0" applyAlignment="1" pivotButton="0" quotePrefix="0" xfId="0">
      <alignment horizontal="right" vertical="center"/>
    </xf>
    <xf numFmtId="0" fontId="0" fillId="4" borderId="0" pivotButton="0" quotePrefix="0" xfId="0"/>
    <xf numFmtId="165" fontId="19" fillId="4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 wrapText="1"/>
    </xf>
    <xf numFmtId="2" fontId="2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2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 wrapText="1"/>
    </xf>
    <xf numFmtId="165" fontId="13" fillId="5" borderId="1" applyAlignment="1" pivotButton="0" quotePrefix="0" xfId="0">
      <alignment horizontal="center" vertical="center" wrapText="1"/>
    </xf>
    <xf numFmtId="166" fontId="11" fillId="5" borderId="1" applyAlignment="1" pivotButton="0" quotePrefix="0" xfId="0">
      <alignment horizontal="center" vertical="center" wrapText="1"/>
    </xf>
    <xf numFmtId="165" fontId="25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7" fontId="26" fillId="5" borderId="1" applyAlignment="1" pivotButton="0" quotePrefix="0" xfId="0">
      <alignment horizontal="center" vertical="center" wrapText="1"/>
    </xf>
    <xf numFmtId="165" fontId="13" fillId="7" borderId="1" applyAlignment="1" pivotButton="0" quotePrefix="0" xfId="0">
      <alignment horizontal="center" vertical="center" wrapText="1"/>
    </xf>
    <xf numFmtId="166" fontId="11" fillId="7" borderId="1" applyAlignment="1" pivotButton="0" quotePrefix="0" xfId="0">
      <alignment horizontal="center" vertical="center" wrapText="1"/>
    </xf>
    <xf numFmtId="165" fontId="25" fillId="7" borderId="1" applyAlignment="1" pivotButton="0" quotePrefix="0" xfId="0">
      <alignment horizontal="center" vertical="center" wrapText="1"/>
    </xf>
    <xf numFmtId="165" fontId="11" fillId="7" borderId="1" applyAlignment="1" pivotButton="0" quotePrefix="0" xfId="0">
      <alignment horizontal="center" vertical="center" wrapText="1"/>
    </xf>
    <xf numFmtId="167" fontId="26" fillId="7" borderId="1" applyAlignment="1" pivotButton="0" quotePrefix="0" xfId="0">
      <alignment horizontal="center" vertical="center" wrapText="1"/>
    </xf>
    <xf numFmtId="165" fontId="14" fillId="5" borderId="1" applyAlignment="1" pivotButton="0" quotePrefix="0" xfId="0">
      <alignment horizontal="right" vertical="center"/>
    </xf>
    <xf numFmtId="165" fontId="14" fillId="7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 wrapText="1"/>
    </xf>
    <xf numFmtId="165" fontId="15" fillId="6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right" vertical="center"/>
    </xf>
    <xf numFmtId="165" fontId="22" fillId="6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165" fontId="15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26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right" vertical="center"/>
    </xf>
    <xf numFmtId="0" fontId="19" fillId="4" borderId="0" applyAlignment="1" pivotButton="0" quotePrefix="0" xfId="0">
      <alignment horizontal="left" vertical="center"/>
    </xf>
    <xf numFmtId="165" fontId="27" fillId="4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2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0" fillId="5" borderId="1" applyAlignment="1" pivotButton="0" quotePrefix="0" xfId="0">
      <alignment horizontal="left" vertical="center"/>
    </xf>
    <xf numFmtId="0" fontId="28" fillId="5" borderId="1" applyAlignment="1" pivotButton="0" quotePrefix="0" xfId="0">
      <alignment horizontal="left" vertical="center"/>
    </xf>
    <xf numFmtId="0" fontId="28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/>
    </xf>
    <xf numFmtId="0" fontId="28" fillId="7" borderId="1" applyAlignment="1" pivotButton="0" quotePrefix="0" xfId="0">
      <alignment horizontal="left" vertical="center"/>
    </xf>
    <xf numFmtId="0" fontId="28" fillId="7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left" vertical="center"/>
    </xf>
    <xf numFmtId="1" fontId="4" fillId="0" borderId="0" applyAlignment="1" pivotButton="0" quotePrefix="0" xfId="0">
      <alignment horizontal="left" vertical="center"/>
    </xf>
    <xf numFmtId="9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2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B3:I7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12" customWidth="1" min="4" max="4"/>
    <col width="10" customWidth="1" min="5" max="5"/>
    <col width="11" customWidth="1" min="6" max="6"/>
    <col width="16" customWidth="1" min="7" max="7"/>
    <col width="16" customWidth="1" min="8" max="8"/>
    <col width="14" customWidth="1" min="9" max="9"/>
    <col width="3" customWidth="1" min="10" max="10"/>
  </cols>
  <sheetData>
    <row r="2" ht="18" customHeight="1"/>
    <row r="3" ht="18" customHeight="1">
      <c r="E3" s="1" t="inlineStr">
        <is>
          <t>DEVIS DE TRANSPORT</t>
        </is>
      </c>
    </row>
    <row r="4" ht="18" customHeight="1"/>
    <row r="5" ht="18" customHeight="1">
      <c r="E5" s="2" t="inlineStr">
        <is>
          <t>Transport · Livraison · Suivi Digital</t>
        </is>
      </c>
    </row>
    <row r="6" ht="18" customHeight="1"/>
    <row r="7" ht="18" customHeight="1"/>
    <row r="8" ht="18" customHeight="1"/>
    <row r="9" ht="4" customHeight="1">
      <c r="B9" s="3" t="n"/>
      <c r="C9" s="3" t="n"/>
      <c r="D9" s="3" t="n"/>
      <c r="E9" s="3" t="n"/>
      <c r="F9" s="3" t="n"/>
      <c r="G9" s="3" t="n"/>
      <c r="H9" s="3" t="n"/>
      <c r="I9" s="3" t="n"/>
    </row>
    <row r="10" ht="6" customHeight="1"/>
    <row r="11" ht="20" customHeight="1">
      <c r="B11" s="4" t="inlineStr">
        <is>
          <t>N° DEVIS :</t>
        </is>
      </c>
      <c r="C11" s="5">
        <f>"OW-"&amp;TEXT('⚙️ Paramètres'!C9,"0000")&amp;"-"&amp;TEXT(TODAY(),"MMYYYY")</f>
        <v/>
      </c>
      <c r="E11" s="4" t="inlineStr">
        <is>
          <t>DATE :</t>
        </is>
      </c>
      <c r="F11" s="6">
        <f>TODAY()</f>
        <v/>
      </c>
      <c r="G11" s="7" t="inlineStr">
        <is>
          <t>VALIDE JUSQU'AU :</t>
        </is>
      </c>
      <c r="H11" s="8">
        <f>TODAY()+'⚙️ Paramètres'!C13</f>
        <v/>
      </c>
    </row>
    <row r="12" ht="6" customHeight="1"/>
    <row r="13" ht="20" customHeight="1">
      <c r="B13" s="9" t="inlineStr">
        <is>
          <t xml:space="preserve">  👤  INFORMATIONS CLIENT</t>
        </is>
      </c>
      <c r="F13" s="10" t="inlineStr">
        <is>
          <t xml:space="preserve">  🚛  ONE WAY — TRANSPORT</t>
        </is>
      </c>
    </row>
    <row r="14" ht="18" customHeight="1">
      <c r="B14" s="4" t="inlineStr">
        <is>
          <t>Nom / Société :</t>
        </is>
      </c>
      <c r="C14" s="11" t="inlineStr">
        <is>
          <t>Nom du client</t>
        </is>
      </c>
      <c r="F14" s="4" t="inlineStr">
        <is>
          <t>Société :</t>
        </is>
      </c>
      <c r="G14" s="11" t="inlineStr">
        <is>
          <t>One Way SARL</t>
        </is>
      </c>
    </row>
    <row r="15" ht="18" customHeight="1">
      <c r="B15" s="4" t="inlineStr">
        <is>
          <t>Adresse :</t>
        </is>
      </c>
      <c r="C15" s="11" t="inlineStr">
        <is>
          <t>Adresse complète</t>
        </is>
      </c>
      <c r="F15" s="4" t="inlineStr">
        <is>
          <t>Adresse :</t>
        </is>
      </c>
      <c r="G15" s="11" t="inlineStr">
        <is>
          <t>Antananarivo, Madagascar</t>
        </is>
      </c>
    </row>
    <row r="16" ht="18" customHeight="1">
      <c r="B16" s="4" t="inlineStr">
        <is>
          <t>Ville :</t>
        </is>
      </c>
      <c r="C16" s="11" t="inlineStr">
        <is>
          <t>Antananarivo</t>
        </is>
      </c>
      <c r="F16" s="4" t="inlineStr">
        <is>
          <t>Téléphone :</t>
        </is>
      </c>
      <c r="G16" s="11" t="inlineStr">
        <is>
          <t>+261 XX XXX XX XX</t>
        </is>
      </c>
    </row>
    <row r="17" ht="18" customHeight="1">
      <c r="B17" s="4" t="inlineStr">
        <is>
          <t>Téléphone :</t>
        </is>
      </c>
      <c r="C17" s="11" t="inlineStr">
        <is>
          <t>+261 XX XXX XX XX</t>
        </is>
      </c>
      <c r="F17" s="4" t="inlineStr">
        <is>
          <t>Email :</t>
        </is>
      </c>
      <c r="G17" s="11" t="inlineStr">
        <is>
          <t>contact@oneway.mg</t>
        </is>
      </c>
    </row>
    <row r="18" ht="18" customHeight="1">
      <c r="B18" s="4" t="inlineStr">
        <is>
          <t>Email :</t>
        </is>
      </c>
      <c r="C18" s="11" t="inlineStr">
        <is>
          <t>client@email.mg</t>
        </is>
      </c>
      <c r="F18" s="4" t="inlineStr">
        <is>
          <t>MVola :</t>
        </is>
      </c>
      <c r="G18" s="11" t="inlineStr">
        <is>
          <t>0XX XX XXX XX</t>
        </is>
      </c>
    </row>
    <row r="19" ht="18" customHeight="1">
      <c r="B19" s="4" t="inlineStr">
        <is>
          <t>N° Client :</t>
        </is>
      </c>
      <c r="C19" s="11" t="inlineStr">
        <is>
          <t>OW-CLI-001</t>
        </is>
      </c>
      <c r="F19" s="4" t="inlineStr">
        <is>
          <t>NIF / STAT :</t>
        </is>
      </c>
      <c r="G19" s="11" t="inlineStr">
        <is>
          <t>XXX XXX XXX</t>
        </is>
      </c>
    </row>
    <row r="20" ht="6" customHeight="1"/>
    <row r="21" ht="22" customHeight="1">
      <c r="B21" s="12" t="inlineStr">
        <is>
          <t xml:space="preserve">  📍  PARAMÈTRES DU TRANSPORT</t>
        </is>
      </c>
    </row>
    <row r="22" ht="18" customHeight="1">
      <c r="B22" s="4" t="inlineStr">
        <is>
          <t>Point de chargement :</t>
        </is>
      </c>
      <c r="C22" s="11" t="inlineStr">
        <is>
          <t>Antananarivo</t>
        </is>
      </c>
      <c r="F22" s="4" t="inlineStr">
        <is>
          <t>Point de livraison :</t>
        </is>
      </c>
      <c r="G22" s="11" t="inlineStr">
        <is>
          <t>Toamasina</t>
        </is>
      </c>
    </row>
    <row r="23" ht="18" customHeight="1">
      <c r="B23" s="4" t="inlineStr">
        <is>
          <t>Distance estimée (km) :</t>
        </is>
      </c>
      <c r="C23" s="11" t="n">
        <v>357</v>
      </c>
      <c r="F23" s="4" t="inlineStr">
        <is>
          <t>Trajet :</t>
        </is>
      </c>
      <c r="G23" s="11" t="inlineStr">
        <is>
          <t>Aller-retour</t>
        </is>
      </c>
    </row>
    <row r="24" ht="18" customHeight="1">
      <c r="B24" s="4" t="inlineStr">
        <is>
          <t>Type de véhicule :</t>
        </is>
      </c>
      <c r="C24" s="11" t="inlineStr">
        <is>
          <t>Camion 5 tonnes</t>
        </is>
      </c>
      <c r="F24" s="4" t="inlineStr">
        <is>
          <t>Type de marchandise :</t>
        </is>
      </c>
      <c r="G24" s="11" t="inlineStr">
        <is>
          <t>Générale</t>
        </is>
      </c>
    </row>
    <row r="25" ht="18" customHeight="1">
      <c r="B25" s="4" t="inlineStr">
        <is>
          <t>Date de transport :</t>
        </is>
      </c>
      <c r="C25" s="11" t="inlineStr">
        <is>
          <t>—</t>
        </is>
      </c>
      <c r="F25" s="4" t="inlineStr">
        <is>
          <t>Durée estimée :</t>
        </is>
      </c>
      <c r="G25" s="11" t="inlineStr">
        <is>
          <t>5h30 (aller)</t>
        </is>
      </c>
    </row>
    <row r="26" ht="18" customHeight="1">
      <c r="B26" s="4" t="inlineStr">
        <is>
          <t>Type de route :</t>
        </is>
      </c>
      <c r="C26" s="11" t="inlineStr">
        <is>
          <t>Route nationale</t>
        </is>
      </c>
      <c r="F26" s="4" t="inlineStr">
        <is>
          <t>Conditions particulières :</t>
        </is>
      </c>
      <c r="G26" s="11" t="inlineStr">
        <is>
          <t>—</t>
        </is>
      </c>
    </row>
    <row r="27" ht="6" customHeight="1"/>
    <row r="28" ht="22" customHeight="1">
      <c r="B28" s="12" t="inlineStr">
        <is>
          <t xml:space="preserve">  📦  DÉTAIL DES PRESTATIONS</t>
        </is>
      </c>
    </row>
    <row r="29" ht="24" customHeight="1">
      <c r="B29" s="13" t="inlineStr">
        <is>
          <t>N°</t>
        </is>
      </c>
      <c r="C29" s="14" t="inlineStr">
        <is>
          <t>DÉSIGNATION / DESCRIPTION</t>
        </is>
      </c>
      <c r="D29" s="15" t="n"/>
      <c r="E29" s="13" t="inlineStr">
        <is>
          <t>TYPE</t>
        </is>
      </c>
      <c r="F29" s="13" t="inlineStr">
        <is>
          <t>QTÉ</t>
        </is>
      </c>
      <c r="G29" s="13" t="inlineStr">
        <is>
          <t>UNITÉ</t>
        </is>
      </c>
      <c r="H29" s="13" t="inlineStr">
        <is>
          <t>P.U. (Ar)</t>
        </is>
      </c>
      <c r="I29" s="13" t="inlineStr">
        <is>
          <t>TOTAL (Ar)</t>
        </is>
      </c>
    </row>
    <row r="30" ht="19" customHeight="1">
      <c r="B30" s="16" t="n">
        <v>1</v>
      </c>
      <c r="C30" s="17" t="inlineStr">
        <is>
          <t>Transport marchandises — aller (chargé), tarif km</t>
        </is>
      </c>
      <c r="D30" s="18" t="n"/>
      <c r="E30" s="19" t="inlineStr">
        <is>
          <t>Transport</t>
        </is>
      </c>
      <c r="F30" s="20" t="n">
        <v>357</v>
      </c>
      <c r="G30" s="19" t="inlineStr">
        <is>
          <t>km</t>
        </is>
      </c>
      <c r="H30" s="21" t="n">
        <v>2800</v>
      </c>
      <c r="I30" s="22">
        <f>F30*H30</f>
        <v/>
      </c>
    </row>
    <row r="31" ht="19" customHeight="1">
      <c r="B31" s="23" t="n">
        <v>2</v>
      </c>
      <c r="C31" s="24" t="inlineStr">
        <is>
          <t>Carburant aller (gasoil) — selon véhicule</t>
        </is>
      </c>
      <c r="D31" s="25" t="n"/>
      <c r="E31" s="26" t="inlineStr">
        <is>
          <t>Carburant</t>
        </is>
      </c>
      <c r="F31" s="27" t="n">
        <v>89</v>
      </c>
      <c r="G31" s="26" t="inlineStr">
        <is>
          <t>litre</t>
        </is>
      </c>
      <c r="H31" s="28">
        <f>'⚙️ Paramètres'!C18</f>
        <v/>
      </c>
      <c r="I31" s="29">
        <f>F31*H31</f>
        <v/>
      </c>
    </row>
    <row r="32" ht="19" customHeight="1">
      <c r="B32" s="23" t="n">
        <v>3</v>
      </c>
      <c r="C32" s="24" t="inlineStr">
        <is>
          <t>Retour véhicule à vide (repositionnement)</t>
        </is>
      </c>
      <c r="D32" s="25" t="n"/>
      <c r="E32" s="26" t="inlineStr">
        <is>
          <t>Aller-retour</t>
        </is>
      </c>
      <c r="F32" s="27" t="n">
        <v>1</v>
      </c>
      <c r="G32" s="26" t="inlineStr">
        <is>
          <t>forfait</t>
        </is>
      </c>
      <c r="H32" s="28">
        <f>ROUND((I30+I31)*'⚙️ Paramètres'!C15,0)</f>
        <v/>
      </c>
      <c r="I32" s="29">
        <f>F32*H32</f>
        <v/>
      </c>
    </row>
    <row r="33" ht="19" customHeight="1">
      <c r="B33" s="30" t="n">
        <v>4</v>
      </c>
      <c r="C33" s="31" t="inlineStr">
        <is>
          <t>Forfait prise en charge / frais fixes de base</t>
        </is>
      </c>
      <c r="D33" s="32" t="n"/>
      <c r="E33" s="33" t="inlineStr">
        <is>
          <t>Transport</t>
        </is>
      </c>
      <c r="F33" s="34" t="n">
        <v>1</v>
      </c>
      <c r="G33" s="33" t="inlineStr">
        <is>
          <t>forfait</t>
        </is>
      </c>
      <c r="H33" s="35" t="n">
        <v>100000</v>
      </c>
      <c r="I33" s="36">
        <f>F33*H33</f>
        <v/>
      </c>
    </row>
    <row r="34" ht="19" customHeight="1">
      <c r="B34" s="16" t="n">
        <v>5</v>
      </c>
      <c r="C34" s="17" t="inlineStr">
        <is>
          <t>Majoration type de marchandise (coefficient)</t>
        </is>
      </c>
      <c r="D34" s="18" t="n"/>
      <c r="E34" s="19" t="inlineStr">
        <is>
          <t>Supplément</t>
        </is>
      </c>
      <c r="F34" s="20" t="n">
        <v>0</v>
      </c>
      <c r="G34" s="19" t="inlineStr">
        <is>
          <t>forfait</t>
        </is>
      </c>
      <c r="H34" s="21" t="n">
        <v>0</v>
      </c>
      <c r="I34" s="22">
        <f>F34*H34</f>
        <v/>
      </c>
    </row>
    <row r="35" ht="19" customHeight="1">
      <c r="B35" s="30" t="n">
        <v>6</v>
      </c>
      <c r="C35" s="31" t="inlineStr">
        <is>
          <t>Manutention au chargement</t>
        </is>
      </c>
      <c r="D35" s="32" t="n"/>
      <c r="E35" s="33" t="inlineStr">
        <is>
          <t>Main d'œuvre</t>
        </is>
      </c>
      <c r="F35" s="34" t="n">
        <v>1</v>
      </c>
      <c r="G35" s="33" t="inlineStr">
        <is>
          <t>forfait</t>
        </is>
      </c>
      <c r="H35" s="35" t="n">
        <v>15000</v>
      </c>
      <c r="I35" s="36">
        <f>F35*H35</f>
        <v/>
      </c>
    </row>
    <row r="36" ht="19" customHeight="1">
      <c r="B36" s="16" t="n">
        <v>7</v>
      </c>
      <c r="C36" s="17" t="inlineStr">
        <is>
          <t>Manutention au déchargement</t>
        </is>
      </c>
      <c r="D36" s="18" t="n"/>
      <c r="E36" s="19" t="inlineStr">
        <is>
          <t>Main d'œuvre</t>
        </is>
      </c>
      <c r="F36" s="20" t="n">
        <v>1</v>
      </c>
      <c r="G36" s="19" t="inlineStr">
        <is>
          <t>forfait</t>
        </is>
      </c>
      <c r="H36" s="21" t="n">
        <v>15000</v>
      </c>
      <c r="I36" s="22">
        <f>F36*H36</f>
        <v/>
      </c>
    </row>
    <row r="37" ht="19" customHeight="1">
      <c r="B37" s="30" t="n">
        <v>8</v>
      </c>
      <c r="C37" s="31" t="inlineStr">
        <is>
          <t>Arrimage / sanglage / bâchage</t>
        </is>
      </c>
      <c r="D37" s="32" t="n"/>
      <c r="E37" s="33" t="inlineStr">
        <is>
          <t>Sécurité</t>
        </is>
      </c>
      <c r="F37" s="34" t="n">
        <v>1</v>
      </c>
      <c r="G37" s="33" t="inlineStr">
        <is>
          <t>forfait</t>
        </is>
      </c>
      <c r="H37" s="35" t="n">
        <v>25000</v>
      </c>
      <c r="I37" s="36">
        <f>F37*H37</f>
        <v/>
      </c>
    </row>
    <row r="38" ht="19" customHeight="1">
      <c r="B38" s="23" t="n">
        <v>9</v>
      </c>
      <c r="C38" s="24" t="inlineStr">
        <is>
          <t>Suivi GPS temps réel (plateforme ONE WAY)</t>
        </is>
      </c>
      <c r="D38" s="25" t="n"/>
      <c r="E38" s="26" t="inlineStr">
        <is>
          <t>Digital</t>
        </is>
      </c>
      <c r="F38" s="27" t="n">
        <v>1</v>
      </c>
      <c r="G38" s="26" t="inlineStr">
        <is>
          <t>forfait</t>
        </is>
      </c>
      <c r="H38" s="28" t="n">
        <v>15000</v>
      </c>
      <c r="I38" s="29">
        <f>F38*H38</f>
        <v/>
      </c>
    </row>
    <row r="39" ht="19" customHeight="1">
      <c r="B39" s="30" t="n">
        <v>10</v>
      </c>
      <c r="C39" s="31" t="inlineStr">
        <is>
          <t>Assurance marchandise (% valeur déclarée)</t>
        </is>
      </c>
      <c r="D39" s="32" t="n"/>
      <c r="E39" s="33" t="inlineStr">
        <is>
          <t>Assurance</t>
        </is>
      </c>
      <c r="F39" s="34" t="n">
        <v>0</v>
      </c>
      <c r="G39" s="33" t="inlineStr">
        <is>
          <t>% valeur</t>
        </is>
      </c>
      <c r="H39" s="35" t="n">
        <v>0</v>
      </c>
      <c r="I39" s="36">
        <f>F39*H39</f>
        <v/>
      </c>
    </row>
    <row r="40" ht="19" customHeight="1">
      <c r="B40" s="16" t="n">
        <v>11</v>
      </c>
      <c r="C40" s="17" t="inlineStr">
        <is>
          <t>Accompagnement douane / portuaire</t>
        </is>
      </c>
      <c r="D40" s="18" t="n"/>
      <c r="E40" s="19" t="inlineStr">
        <is>
          <t>Administratif</t>
        </is>
      </c>
      <c r="F40" s="20" t="n">
        <v>0</v>
      </c>
      <c r="G40" s="19" t="inlineStr">
        <is>
          <t>dossier</t>
        </is>
      </c>
      <c r="H40" s="21" t="n">
        <v>50000</v>
      </c>
      <c r="I40" s="22">
        <f>F40*H40</f>
        <v/>
      </c>
    </row>
    <row r="41" ht="19" customHeight="1">
      <c r="B41" s="30" t="n">
        <v>12</v>
      </c>
      <c r="C41" s="31" t="inlineStr">
        <is>
          <t>Gardiennage / stationnement de nuit</t>
        </is>
      </c>
      <c r="D41" s="32" t="n"/>
      <c r="E41" s="33" t="inlineStr">
        <is>
          <t>Sécurité</t>
        </is>
      </c>
      <c r="F41" s="34" t="n">
        <v>0</v>
      </c>
      <c r="G41" s="33" t="inlineStr">
        <is>
          <t>nuit</t>
        </is>
      </c>
      <c r="H41" s="35" t="n">
        <v>30000</v>
      </c>
      <c r="I41" s="36">
        <f>F41*H41</f>
        <v/>
      </c>
    </row>
    <row r="42" ht="19" customHeight="1">
      <c r="B42" s="16" t="n">
        <v>13</v>
      </c>
      <c r="C42" s="17" t="inlineStr">
        <is>
          <t>Heure(s) d'attente (&gt;2h offert)</t>
        </is>
      </c>
      <c r="D42" s="18" t="n"/>
      <c r="E42" s="19" t="inlineStr">
        <is>
          <t>Attente</t>
        </is>
      </c>
      <c r="F42" s="20" t="n">
        <v>0</v>
      </c>
      <c r="G42" s="19" t="inlineStr">
        <is>
          <t>heure</t>
        </is>
      </c>
      <c r="H42" s="21" t="n">
        <v>20000</v>
      </c>
      <c r="I42" s="22">
        <f>F42*H42</f>
        <v/>
      </c>
    </row>
    <row r="43" ht="19" customHeight="1">
      <c r="B43" s="30" t="n">
        <v>14</v>
      </c>
      <c r="C43" s="31" t="inlineStr">
        <is>
          <t>Supplément frigorifique (groupe froid / jour)</t>
        </is>
      </c>
      <c r="D43" s="32" t="n"/>
      <c r="E43" s="33" t="inlineStr">
        <is>
          <t>Supplément</t>
        </is>
      </c>
      <c r="F43" s="34" t="n">
        <v>0</v>
      </c>
      <c r="G43" s="33" t="inlineStr">
        <is>
          <t>jour</t>
        </is>
      </c>
      <c r="H43" s="35" t="n">
        <v>60000</v>
      </c>
      <c r="I43" s="36">
        <f>F43*H43</f>
        <v/>
      </c>
    </row>
    <row r="44" ht="19" customHeight="1">
      <c r="B44" s="16" t="n">
        <v>15</v>
      </c>
      <c r="C44" s="17" t="inlineStr">
        <is>
          <t>Escorte / convoi exceptionnel</t>
        </is>
      </c>
      <c r="D44" s="18" t="n"/>
      <c r="E44" s="19" t="inlineStr">
        <is>
          <t>Supplément</t>
        </is>
      </c>
      <c r="F44" s="20" t="n">
        <v>0</v>
      </c>
      <c r="G44" s="19" t="inlineStr">
        <is>
          <t>forfait</t>
        </is>
      </c>
      <c r="H44" s="21" t="n">
        <v>120000</v>
      </c>
      <c r="I44" s="22">
        <f>F44*H44</f>
        <v/>
      </c>
    </row>
    <row r="45" ht="19" customHeight="1">
      <c r="B45" s="30" t="n">
        <v>16</v>
      </c>
      <c r="C45" s="31" t="inlineStr">
        <is>
          <t>Service express (J+1, majoré)</t>
        </is>
      </c>
      <c r="D45" s="32" t="n"/>
      <c r="E45" s="33" t="inlineStr">
        <is>
          <t>Supplément</t>
        </is>
      </c>
      <c r="F45" s="34" t="n">
        <v>0</v>
      </c>
      <c r="G45" s="33" t="inlineStr">
        <is>
          <t>forfait</t>
        </is>
      </c>
      <c r="H45" s="35" t="n">
        <v>0</v>
      </c>
      <c r="I45" s="36">
        <f>F45*H45</f>
        <v/>
      </c>
    </row>
    <row r="46" ht="19" customHeight="1">
      <c r="B46" s="16" t="n">
        <v>17</v>
      </c>
      <c r="C46" s="17" t="inlineStr">
        <is>
          <t>Frais administratifs / documentation</t>
        </is>
      </c>
      <c r="D46" s="18" t="n"/>
      <c r="E46" s="19" t="inlineStr">
        <is>
          <t>Administratif</t>
        </is>
      </c>
      <c r="F46" s="20" t="n">
        <v>0</v>
      </c>
      <c r="G46" s="19" t="inlineStr">
        <is>
          <t>dossier</t>
        </is>
      </c>
      <c r="H46" s="21" t="n">
        <v>15000</v>
      </c>
      <c r="I46" s="22">
        <f>F46*H46</f>
        <v/>
      </c>
    </row>
    <row r="47" ht="20" customHeight="1">
      <c r="B47" s="37" t="inlineStr">
        <is>
          <t>SOUS-TOTAL H.T.</t>
        </is>
      </c>
      <c r="C47" s="38" t="n"/>
      <c r="D47" s="38" t="n"/>
      <c r="E47" s="38" t="n"/>
      <c r="F47" s="38" t="n"/>
      <c r="G47" s="39">
        <f>SUM(I30:I46)</f>
        <v/>
      </c>
    </row>
    <row r="48" ht="20" customHeight="1">
      <c r="B48" s="40" t="inlineStr">
        <is>
          <t>Remise commerciale (%)  →</t>
        </is>
      </c>
      <c r="F48" s="41" t="n">
        <v>0</v>
      </c>
      <c r="G48" s="42">
        <f>-ROUND(G47*F48/100,0)</f>
        <v/>
      </c>
    </row>
    <row r="49" ht="20" customHeight="1">
      <c r="B49" s="37" t="inlineStr">
        <is>
          <t>Base imposable (après remise)</t>
        </is>
      </c>
      <c r="C49" s="38" t="n"/>
      <c r="D49" s="38" t="n"/>
      <c r="E49" s="38" t="n"/>
      <c r="F49" s="38" t="n"/>
      <c r="G49" s="39">
        <f>G47+G48</f>
        <v/>
      </c>
    </row>
    <row r="50" ht="20" customHeight="1">
      <c r="B50" s="40" t="inlineStr">
        <is>
          <t>TVA (Oui / Non)  →</t>
        </is>
      </c>
      <c r="F50" s="43" t="inlineStr">
        <is>
          <t>Non</t>
        </is>
      </c>
      <c r="G50" s="44">
        <f>IF(F50="Oui",ROUND(G49*0.2,0),0)</f>
        <v/>
      </c>
    </row>
    <row r="51" ht="24" customHeight="1">
      <c r="B51" s="45" t="inlineStr">
        <is>
          <t>💰  TOTAL À PAYER (TTC)</t>
        </is>
      </c>
      <c r="C51" s="46" t="n"/>
      <c r="D51" s="46" t="n"/>
      <c r="E51" s="46" t="n"/>
      <c r="F51" s="46" t="n"/>
      <c r="G51" s="47">
        <f>G49+G50</f>
        <v/>
      </c>
    </row>
    <row r="53" ht="22" customHeight="1">
      <c r="B53" s="12" t="inlineStr">
        <is>
          <t xml:space="preserve">  💳  CONDITIONS DE PAIEMENT</t>
        </is>
      </c>
    </row>
    <row r="54" ht="18" customHeight="1">
      <c r="B54" s="4" t="inlineStr">
        <is>
          <t>Mode de paiement :</t>
        </is>
      </c>
      <c r="C54" s="48" t="inlineStr">
        <is>
          <t>MVola / Orange Money / Airtel Money / Virement / Espèces</t>
        </is>
      </c>
    </row>
    <row r="55" ht="18" customHeight="1">
      <c r="B55" s="4" t="inlineStr">
        <is>
          <t>Acompte requis :</t>
        </is>
      </c>
      <c r="C55" s="48" t="inlineStr">
        <is>
          <t>50% à la commande — 50% à la livraison</t>
        </is>
      </c>
    </row>
    <row r="56" ht="18" customHeight="1">
      <c r="B56" s="4" t="inlineStr">
        <is>
          <t>N° MVola One Way :</t>
        </is>
      </c>
      <c r="C56" s="48" t="inlineStr">
        <is>
          <t>0XX XX XXX XX</t>
        </is>
      </c>
    </row>
    <row r="57" ht="18" customHeight="1">
      <c r="B57" s="4" t="inlineStr">
        <is>
          <t>Délai de paiement :</t>
        </is>
      </c>
      <c r="C57" s="48" t="inlineStr">
        <is>
          <t>Paiement à réception ou selon accord</t>
        </is>
      </c>
    </row>
    <row r="58" ht="18" customHeight="1">
      <c r="B58" s="4" t="inlineStr">
        <is>
          <t>Pénalités de retard :</t>
        </is>
      </c>
      <c r="C58" s="48" t="inlineStr">
        <is>
          <t>2% par semaine de retard</t>
        </is>
      </c>
    </row>
    <row r="60" ht="22" customHeight="1">
      <c r="B60" s="12" t="inlineStr">
        <is>
          <t xml:space="preserve">  📝  CONDITIONS GÉNÉRALES</t>
        </is>
      </c>
    </row>
    <row r="61" ht="16" customHeight="1">
      <c r="B61" s="49" t="inlineStr">
        <is>
          <t>• Ce devis est valable 30 jours à compter de la date d'émission.</t>
        </is>
      </c>
    </row>
    <row r="62" ht="16" customHeight="1">
      <c r="B62" s="49" t="inlineStr">
        <is>
          <t>• Prix en Ariary (MGA) HT sauf mention contraire. Trajet facturé ALLER-RETOUR (le véhicule revient à son point de départ).</t>
        </is>
      </c>
    </row>
    <row r="63" ht="16" customHeight="1">
      <c r="B63" s="49" t="inlineStr">
        <is>
          <t>• Le carburant est facturé au prix réel de la pompe ; un avenant s'applique en cas de forte variation du cours du gasoil.</t>
        </is>
      </c>
    </row>
    <row r="64" ht="16" customHeight="1">
      <c r="B64" s="49" t="inlineStr">
        <is>
          <t>• Force majeure (météo, route coupée) : avenant tarifaire applicable.</t>
        </is>
      </c>
    </row>
    <row r="65" ht="16" customHeight="1">
      <c r="B65" s="49" t="inlineStr">
        <is>
          <t>• Responsabilité limitée à la valeur déclarée des marchandises.</t>
        </is>
      </c>
    </row>
    <row r="66" ht="16" customHeight="1">
      <c r="B66" s="49" t="inlineStr">
        <is>
          <t>• Pour toute modification, contactez-nous 48h avant le transport.</t>
        </is>
      </c>
    </row>
    <row r="68" ht="50" customHeight="1">
      <c r="B68" s="50" t="inlineStr">
        <is>
          <t>Signature &amp; Cachet Client</t>
        </is>
      </c>
      <c r="F68" s="50" t="inlineStr">
        <is>
          <t>Pour One Way</t>
        </is>
      </c>
    </row>
    <row r="71" ht="22" customHeight="1">
      <c r="B71" s="51" t="inlineStr">
        <is>
          <t>One Way SARL  ·  Transport · Livraison · Suivi Digital  ·  Antananarivo, Madagascar 🇲🇬</t>
        </is>
      </c>
    </row>
  </sheetData>
  <mergeCells count="72">
    <mergeCell ref="C16:E16"/>
    <mergeCell ref="C34:D34"/>
    <mergeCell ref="F13:I13"/>
    <mergeCell ref="B62:I62"/>
    <mergeCell ref="C30:D30"/>
    <mergeCell ref="B47:F47"/>
    <mergeCell ref="G19:I19"/>
    <mergeCell ref="C33:D33"/>
    <mergeCell ref="C22:E22"/>
    <mergeCell ref="C42:D42"/>
    <mergeCell ref="B68:E68"/>
    <mergeCell ref="G18:I18"/>
    <mergeCell ref="C45:D45"/>
    <mergeCell ref="G49:I49"/>
    <mergeCell ref="B66:I66"/>
    <mergeCell ref="B71:I71"/>
    <mergeCell ref="G15:I15"/>
    <mergeCell ref="C35:D35"/>
    <mergeCell ref="C57:I57"/>
    <mergeCell ref="G24:I24"/>
    <mergeCell ref="B21:I21"/>
    <mergeCell ref="C29:D29"/>
    <mergeCell ref="G14:I14"/>
    <mergeCell ref="B50:E50"/>
    <mergeCell ref="C23:E23"/>
    <mergeCell ref="C41:D41"/>
    <mergeCell ref="C17:E17"/>
    <mergeCell ref="C44:D44"/>
    <mergeCell ref="G26:I26"/>
    <mergeCell ref="C40:D40"/>
    <mergeCell ref="B60:I60"/>
    <mergeCell ref="B61:I61"/>
    <mergeCell ref="C31:D31"/>
    <mergeCell ref="F68:I68"/>
    <mergeCell ref="G51:I51"/>
    <mergeCell ref="C58:I58"/>
    <mergeCell ref="G25:I25"/>
    <mergeCell ref="C43:D43"/>
    <mergeCell ref="G16:I16"/>
    <mergeCell ref="G47:I47"/>
    <mergeCell ref="E3:I4"/>
    <mergeCell ref="C46:D46"/>
    <mergeCell ref="G50:I50"/>
    <mergeCell ref="C19:E19"/>
    <mergeCell ref="B53:I53"/>
    <mergeCell ref="G22:I22"/>
    <mergeCell ref="B48:E48"/>
    <mergeCell ref="C18:E18"/>
    <mergeCell ref="B28:I28"/>
    <mergeCell ref="C36:D36"/>
    <mergeCell ref="C54:I54"/>
    <mergeCell ref="E5:I6"/>
    <mergeCell ref="C15:E15"/>
    <mergeCell ref="C39:D39"/>
    <mergeCell ref="B65:I65"/>
    <mergeCell ref="C24:E24"/>
    <mergeCell ref="B49:F49"/>
    <mergeCell ref="C55:I55"/>
    <mergeCell ref="C14:E14"/>
    <mergeCell ref="C32:D32"/>
    <mergeCell ref="C38:D38"/>
    <mergeCell ref="B64:I64"/>
    <mergeCell ref="C56:I56"/>
    <mergeCell ref="B13:E13"/>
    <mergeCell ref="G23:I23"/>
    <mergeCell ref="C37:D37"/>
    <mergeCell ref="B51:F51"/>
    <mergeCell ref="C26:E26"/>
    <mergeCell ref="G48:I48"/>
    <mergeCell ref="G17:I17"/>
    <mergeCell ref="B63:I63"/>
    <mergeCell ref="C25:E25"/>
  </mergeCell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A4A72"/>
    <outlinePr summaryBelow="1" summaryRight="1"/>
    <pageSetUpPr fitToPage="1"/>
  </sheetPr>
  <dimension ref="B2:H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7" customWidth="1" min="4" max="4"/>
    <col width="14" customWidth="1" min="5" max="5"/>
    <col width="16" customWidth="1" min="6" max="6"/>
    <col width="15" customWidth="1" min="7" max="7"/>
    <col width="13" customWidth="1" min="8" max="8"/>
    <col width="3" customWidth="1" min="9" max="9"/>
  </cols>
  <sheetData>
    <row r="2">
      <c r="B2" s="52" t="inlineStr">
        <is>
          <t>⚙️  PARAMÈTRES &amp; TARIFS DE RÉFÉRENCE — ONE WAY</t>
        </is>
      </c>
      <c r="C2" s="46" t="n"/>
      <c r="D2" s="46" t="n"/>
      <c r="E2" s="46" t="n"/>
      <c r="F2" s="46" t="n"/>
      <c r="G2" s="46" t="n"/>
      <c r="H2" s="46" t="n"/>
    </row>
    <row r="3">
      <c r="B3" s="46" t="n"/>
      <c r="C3" s="46" t="n"/>
      <c r="D3" s="46" t="n"/>
      <c r="E3" s="46" t="n"/>
      <c r="F3" s="46" t="n"/>
      <c r="G3" s="46" t="n"/>
      <c r="H3" s="46" t="n"/>
    </row>
    <row r="4">
      <c r="B4" s="46" t="n"/>
      <c r="C4" s="46" t="n"/>
      <c r="D4" s="46" t="n"/>
      <c r="E4" s="46" t="n"/>
      <c r="F4" s="46" t="n"/>
      <c r="G4" s="46" t="n"/>
      <c r="H4" s="46" t="n"/>
    </row>
    <row r="5">
      <c r="B5" s="46" t="n"/>
      <c r="C5" s="46" t="n"/>
      <c r="D5" s="46" t="n"/>
      <c r="E5" s="46" t="n"/>
      <c r="F5" s="46" t="n"/>
      <c r="G5" s="46" t="n"/>
      <c r="H5" s="46" t="n"/>
    </row>
    <row r="6" ht="8" customHeight="1"/>
    <row r="8" ht="22" customHeight="1">
      <c r="B8" s="12" t="inlineStr">
        <is>
          <t xml:space="preserve">  🏢  INFORMATIONS GÉNÉRALES</t>
        </is>
      </c>
    </row>
    <row r="9" ht="20" customHeight="1">
      <c r="B9" s="53" t="inlineStr">
        <is>
          <t>Numéro séquence devis</t>
        </is>
      </c>
      <c r="C9" s="54" t="n">
        <v>1</v>
      </c>
      <c r="D9" s="55" t="inlineStr">
        <is>
          <t>N°</t>
        </is>
      </c>
      <c r="E9" s="56" t="inlineStr">
        <is>
          <t>Auto-incrémenté</t>
        </is>
      </c>
    </row>
    <row r="10" ht="20" customHeight="1">
      <c r="B10" s="53" t="inlineStr">
        <is>
          <t>Remise commerciale défaut</t>
        </is>
      </c>
      <c r="C10" s="54" t="n">
        <v>0</v>
      </c>
      <c r="D10" s="55" t="inlineStr">
        <is>
          <t>%</t>
        </is>
      </c>
      <c r="E10" s="56" t="inlineStr">
        <is>
          <t>0 si aucune remise</t>
        </is>
      </c>
    </row>
    <row r="11" ht="20" customHeight="1">
      <c r="B11" s="53" t="inlineStr">
        <is>
          <t>TVA applicable par défaut</t>
        </is>
      </c>
      <c r="C11" s="54" t="inlineStr">
        <is>
          <t>Non</t>
        </is>
      </c>
      <c r="D11" s="55" t="inlineStr"/>
      <c r="E11" s="56" t="inlineStr">
        <is>
          <t>Oui ou Non</t>
        </is>
      </c>
    </row>
    <row r="12" ht="20" customHeight="1">
      <c r="B12" s="53" t="inlineStr">
        <is>
          <t>Devise</t>
        </is>
      </c>
      <c r="C12" s="54" t="inlineStr">
        <is>
          <t>Ariary (MGA)</t>
        </is>
      </c>
      <c r="D12" s="55" t="inlineStr"/>
      <c r="E12" s="56" t="inlineStr">
        <is>
          <t>Toutes valeurs en Ar</t>
        </is>
      </c>
    </row>
    <row r="13" ht="20" customHeight="1">
      <c r="B13" s="53" t="inlineStr">
        <is>
          <t>Validité du devis</t>
        </is>
      </c>
      <c r="C13" s="54" t="n">
        <v>30</v>
      </c>
      <c r="D13" s="55" t="inlineStr">
        <is>
          <t>jours</t>
        </is>
      </c>
      <c r="E13" s="56" t="inlineStr">
        <is>
          <t>Délai d'engagement du prix</t>
        </is>
      </c>
    </row>
    <row r="14" ht="20" customHeight="1">
      <c r="B14" s="53" t="inlineStr">
        <is>
          <t>Trajet par défaut</t>
        </is>
      </c>
      <c r="C14" s="57" t="inlineStr">
        <is>
          <t>Aller-retour</t>
        </is>
      </c>
      <c r="D14" s="55" t="inlineStr"/>
      <c r="E14" s="56" t="inlineStr">
        <is>
          <t>Le véhicule revient</t>
        </is>
      </c>
    </row>
    <row r="15" ht="20" customHeight="1">
      <c r="B15" s="53" t="inlineStr">
        <is>
          <t>Coefficient retour à vide</t>
        </is>
      </c>
      <c r="C15" s="58" t="n">
        <v>0.7</v>
      </c>
      <c r="D15" s="55" t="inlineStr">
        <is>
          <t>×</t>
        </is>
      </c>
      <c r="E15" s="56" t="inlineStr">
        <is>
          <t>0 = aller simple · 1 = retour plein</t>
        </is>
      </c>
    </row>
    <row r="16" ht="8" customHeight="1"/>
    <row r="17" ht="22" customHeight="1">
      <c r="B17" s="12" t="inlineStr">
        <is>
          <t xml:space="preserve">  ⛽  PRIX DU CARBURANT  (modifiable selon le cours)</t>
        </is>
      </c>
    </row>
    <row r="18" ht="20" customHeight="1">
      <c r="B18" s="59" t="inlineStr">
        <is>
          <t>Gasoil (diesel)</t>
        </is>
      </c>
      <c r="C18" s="60" t="n">
        <v>4900</v>
      </c>
      <c r="D18" s="61" t="inlineStr">
        <is>
          <t>/ litre</t>
        </is>
      </c>
      <c r="E18" s="62" t="inlineStr">
        <is>
          <t>Tous les frais de carburant se recalculent à partir de cette valeur.</t>
        </is>
      </c>
    </row>
    <row r="19" ht="20" customHeight="1">
      <c r="B19" s="59" t="inlineStr">
        <is>
          <t>Essence (sans plomb)</t>
        </is>
      </c>
      <c r="C19" s="60" t="n">
        <v>5100</v>
      </c>
      <c r="D19" s="61" t="inlineStr">
        <is>
          <t>/ litre</t>
        </is>
      </c>
      <c r="E19" s="62" t="inlineStr">
        <is>
          <t>Tous les frais de carburant se recalculent à partir de cette valeur.</t>
        </is>
      </c>
    </row>
    <row r="20" ht="8" customHeight="1"/>
    <row r="21" ht="22" customHeight="1">
      <c r="B21" s="12" t="inlineStr">
        <is>
          <t xml:space="preserve">  🛣️  GRILLE TARIFAIRE KILOMÉTRIQUE  (tarif km HORS carburant + carburant par type)</t>
        </is>
      </c>
    </row>
    <row r="22" ht="26" customHeight="1">
      <c r="B22" s="63" t="inlineStr">
        <is>
          <t>TYPE DE VÉHICULE</t>
        </is>
      </c>
      <c r="C22" s="64" t="inlineStr">
        <is>
          <t>CAPACITÉ</t>
        </is>
      </c>
      <c r="D22" s="64" t="inlineStr">
        <is>
          <t>TARIF/km
(hors carburant)</t>
        </is>
      </c>
      <c r="E22" s="64" t="inlineStr">
        <is>
          <t>CONSO
(L/100km)</t>
        </is>
      </c>
      <c r="F22" s="64" t="inlineStr">
        <is>
          <t>CARBURANT/km</t>
        </is>
      </c>
      <c r="G22" s="64" t="inlineStr">
        <is>
          <t>FORFAIT BASE</t>
        </is>
      </c>
      <c r="H22" s="64" t="inlineStr">
        <is>
          <t>MAJORATION</t>
        </is>
      </c>
    </row>
    <row r="23" ht="19" customHeight="1">
      <c r="B23" s="17" t="inlineStr">
        <is>
          <t>🛵 Moto-taxi / Tricycle</t>
        </is>
      </c>
      <c r="C23" s="16" t="inlineStr">
        <is>
          <t>&lt; 200 kg</t>
        </is>
      </c>
      <c r="D23" s="65" t="n">
        <v>800</v>
      </c>
      <c r="E23" s="66" t="n">
        <v>3</v>
      </c>
      <c r="F23" s="67">
        <f>ROUND(E23*$C$19/100,0)</f>
        <v/>
      </c>
      <c r="G23" s="68" t="n">
        <v>15000</v>
      </c>
      <c r="H23" s="69" t="n">
        <v>0</v>
      </c>
    </row>
    <row r="24" ht="19" customHeight="1">
      <c r="B24" s="31" t="inlineStr">
        <is>
          <t>🚐 Camionnette légère</t>
        </is>
      </c>
      <c r="C24" s="30" t="inlineStr">
        <is>
          <t>200 – 800 kg</t>
        </is>
      </c>
      <c r="D24" s="70" t="n">
        <v>1200</v>
      </c>
      <c r="E24" s="71" t="n">
        <v>10</v>
      </c>
      <c r="F24" s="72">
        <f>ROUND(E24*$C$18/100,0)</f>
        <v/>
      </c>
      <c r="G24" s="73" t="n">
        <v>30000</v>
      </c>
      <c r="H24" s="74" t="n">
        <v>0.1</v>
      </c>
    </row>
    <row r="25" ht="19" customHeight="1">
      <c r="B25" s="17" t="inlineStr">
        <is>
          <t>🚚 Camion 3 tonnes</t>
        </is>
      </c>
      <c r="C25" s="16" t="inlineStr">
        <is>
          <t>800 kg – 3 T</t>
        </is>
      </c>
      <c r="D25" s="65" t="n">
        <v>1900</v>
      </c>
      <c r="E25" s="66" t="n">
        <v>18</v>
      </c>
      <c r="F25" s="67">
        <f>ROUND(E25*$C$18/100,0)</f>
        <v/>
      </c>
      <c r="G25" s="68" t="n">
        <v>60000</v>
      </c>
      <c r="H25" s="69" t="n">
        <v>0.15</v>
      </c>
    </row>
    <row r="26" ht="19" customHeight="1">
      <c r="B26" s="31" t="inlineStr">
        <is>
          <t>🚚 Camion 5 tonnes</t>
        </is>
      </c>
      <c r="C26" s="30" t="inlineStr">
        <is>
          <t>3 T – 5 T</t>
        </is>
      </c>
      <c r="D26" s="70" t="n">
        <v>2800</v>
      </c>
      <c r="E26" s="71" t="n">
        <v>25</v>
      </c>
      <c r="F26" s="72">
        <f>ROUND(E26*$C$18/100,0)</f>
        <v/>
      </c>
      <c r="G26" s="73" t="n">
        <v>100000</v>
      </c>
      <c r="H26" s="74" t="n">
        <v>0.2</v>
      </c>
    </row>
    <row r="27" ht="19" customHeight="1">
      <c r="B27" s="17" t="inlineStr">
        <is>
          <t>🚛 Camion 10 tonnes</t>
        </is>
      </c>
      <c r="C27" s="16" t="inlineStr">
        <is>
          <t>5 T – 10 T</t>
        </is>
      </c>
      <c r="D27" s="65" t="n">
        <v>3900</v>
      </c>
      <c r="E27" s="66" t="n">
        <v>32</v>
      </c>
      <c r="F27" s="67">
        <f>ROUND(E27*$C$18/100,0)</f>
        <v/>
      </c>
      <c r="G27" s="68" t="n">
        <v>180000</v>
      </c>
      <c r="H27" s="69" t="n">
        <v>0.25</v>
      </c>
    </row>
    <row r="28" ht="19" customHeight="1">
      <c r="B28" s="31" t="inlineStr">
        <is>
          <t>🚛 Semi-remorque 20 T</t>
        </is>
      </c>
      <c r="C28" s="30" t="inlineStr">
        <is>
          <t>10 T – 20 T</t>
        </is>
      </c>
      <c r="D28" s="70" t="n">
        <v>5600</v>
      </c>
      <c r="E28" s="71" t="n">
        <v>38</v>
      </c>
      <c r="F28" s="72">
        <f>ROUND(E28*$C$18/100,0)</f>
        <v/>
      </c>
      <c r="G28" s="73" t="n">
        <v>300000</v>
      </c>
      <c r="H28" s="74" t="n">
        <v>0.3</v>
      </c>
    </row>
    <row r="29" ht="19" customHeight="1">
      <c r="B29" s="17" t="inlineStr">
        <is>
          <t>❄️ Camion frigorifique 5 T</t>
        </is>
      </c>
      <c r="C29" s="16" t="inlineStr">
        <is>
          <t>3 T – 5 T frigo</t>
        </is>
      </c>
      <c r="D29" s="65" t="n">
        <v>3800</v>
      </c>
      <c r="E29" s="66" t="n">
        <v>28</v>
      </c>
      <c r="F29" s="67">
        <f>ROUND(E29*$C$18/100,0)</f>
        <v/>
      </c>
      <c r="G29" s="68" t="n">
        <v>150000</v>
      </c>
      <c r="H29" s="69" t="n">
        <v>0.2</v>
      </c>
    </row>
    <row r="30" ht="19" customHeight="1">
      <c r="B30" s="31" t="inlineStr">
        <is>
          <t>🚜 Camion benne</t>
        </is>
      </c>
      <c r="C30" s="30" t="inlineStr">
        <is>
          <t>Jusqu'à 15 T</t>
        </is>
      </c>
      <c r="D30" s="70" t="n">
        <v>4300</v>
      </c>
      <c r="E30" s="71" t="n">
        <v>35</v>
      </c>
      <c r="F30" s="72">
        <f>ROUND(E30*$C$18/100,0)</f>
        <v/>
      </c>
      <c r="G30" s="73" t="n">
        <v>200000</v>
      </c>
      <c r="H30" s="74" t="n">
        <v>0.25</v>
      </c>
    </row>
    <row r="31" ht="19" customHeight="1">
      <c r="B31" s="17" t="inlineStr">
        <is>
          <t>📦 Conteneur 20 pieds</t>
        </is>
      </c>
      <c r="C31" s="16" t="inlineStr">
        <is>
          <t>Max 24 T</t>
        </is>
      </c>
      <c r="D31" s="65" t="n">
        <v>4600</v>
      </c>
      <c r="E31" s="66" t="n">
        <v>38</v>
      </c>
      <c r="F31" s="67">
        <f>ROUND(E31*$C$18/100,0)</f>
        <v/>
      </c>
      <c r="G31" s="68" t="n">
        <v>250000</v>
      </c>
      <c r="H31" s="69" t="n">
        <v>0.35</v>
      </c>
    </row>
    <row r="32" ht="19" customHeight="1">
      <c r="B32" s="31" t="inlineStr">
        <is>
          <t>📦 Conteneur 40 pieds</t>
        </is>
      </c>
      <c r="C32" s="30" t="inlineStr">
        <is>
          <t>Max 28 T</t>
        </is>
      </c>
      <c r="D32" s="70" t="n">
        <v>6300</v>
      </c>
      <c r="E32" s="71" t="n">
        <v>45</v>
      </c>
      <c r="F32" s="72">
        <f>ROUND(E32*$C$18/100,0)</f>
        <v/>
      </c>
      <c r="G32" s="73" t="n">
        <v>400000</v>
      </c>
      <c r="H32" s="74" t="n">
        <v>0.4</v>
      </c>
    </row>
    <row r="33" ht="8" customHeight="1"/>
    <row r="34" ht="22" customHeight="1">
      <c r="B34" s="12" t="inlineStr">
        <is>
          <t xml:space="preserve">  🗺️  ROUTES PRINCIPALES MADAGASCAR  (ALLER-RETOUR, général, carburant inclus)</t>
        </is>
      </c>
    </row>
    <row r="35" ht="26" customHeight="1">
      <c r="B35" s="63" t="inlineStr">
        <is>
          <t>ROUTE</t>
        </is>
      </c>
      <c r="C35" s="64" t="inlineStr">
        <is>
          <t>DISTANCE</t>
        </is>
      </c>
      <c r="D35" s="64" t="inlineStr">
        <is>
          <t>CAMION 3T</t>
        </is>
      </c>
      <c r="E35" s="64" t="inlineStr">
        <is>
          <t>CAMION 5T</t>
        </is>
      </c>
      <c r="F35" s="64" t="inlineStr">
        <is>
          <t>SEMI-REM. 20T</t>
        </is>
      </c>
      <c r="G35" s="64" t="inlineStr">
        <is>
          <t>DURÉE MOY.</t>
        </is>
      </c>
      <c r="H35" s="15" t="n"/>
    </row>
    <row r="36" ht="18" customHeight="1">
      <c r="B36" s="17" t="inlineStr">
        <is>
          <t>Antananarivo → Toamasina</t>
        </is>
      </c>
      <c r="C36" s="16" t="inlineStr">
        <is>
          <t>357 km</t>
        </is>
      </c>
      <c r="D36" s="21" t="n">
        <v>1921000</v>
      </c>
      <c r="E36" s="75" t="n">
        <v>2883000</v>
      </c>
      <c r="F36" s="21" t="n">
        <v>5848000</v>
      </c>
      <c r="G36" s="16" t="inlineStr">
        <is>
          <t>5h30</t>
        </is>
      </c>
      <c r="H36" s="18" t="n"/>
    </row>
    <row r="37" ht="18" customHeight="1">
      <c r="B37" s="31" t="inlineStr">
        <is>
          <t>Antananarivo → Antsirabe</t>
        </is>
      </c>
      <c r="C37" s="30" t="inlineStr">
        <is>
          <t>167 km</t>
        </is>
      </c>
      <c r="D37" s="35" t="n">
        <v>931000</v>
      </c>
      <c r="E37" s="76" t="n">
        <v>1402000</v>
      </c>
      <c r="F37" s="35" t="n">
        <v>2895000</v>
      </c>
      <c r="G37" s="30" t="inlineStr">
        <is>
          <t>3h00</t>
        </is>
      </c>
      <c r="H37" s="32" t="n"/>
    </row>
    <row r="38" ht="18" customHeight="1">
      <c r="B38" s="17" t="inlineStr">
        <is>
          <t>Antananarivo → Mahajanga</t>
        </is>
      </c>
      <c r="C38" s="16" t="inlineStr">
        <is>
          <t>472 km</t>
        </is>
      </c>
      <c r="D38" s="21" t="n">
        <v>2521000</v>
      </c>
      <c r="E38" s="75" t="n">
        <v>3779000</v>
      </c>
      <c r="F38" s="21" t="n">
        <v>7636000</v>
      </c>
      <c r="G38" s="16" t="inlineStr">
        <is>
          <t>8h00</t>
        </is>
      </c>
      <c r="H38" s="18" t="n"/>
    </row>
    <row r="39" ht="18" customHeight="1">
      <c r="B39" s="31" t="inlineStr">
        <is>
          <t>Antananarivo → Fianarantsoa</t>
        </is>
      </c>
      <c r="C39" s="30" t="inlineStr">
        <is>
          <t>404 km</t>
        </is>
      </c>
      <c r="D39" s="35" t="n">
        <v>2166000</v>
      </c>
      <c r="E39" s="76" t="n">
        <v>3249000</v>
      </c>
      <c r="F39" s="35" t="n">
        <v>6579000</v>
      </c>
      <c r="G39" s="30" t="inlineStr">
        <is>
          <t>7h00</t>
        </is>
      </c>
      <c r="H39" s="32" t="n"/>
    </row>
    <row r="40" ht="18" customHeight="1">
      <c r="B40" s="17" t="inlineStr">
        <is>
          <t>Antananarivo → Toliara</t>
        </is>
      </c>
      <c r="C40" s="16" t="inlineStr">
        <is>
          <t>756 km</t>
        </is>
      </c>
      <c r="D40" s="21" t="n">
        <v>4002000</v>
      </c>
      <c r="E40" s="75" t="n">
        <v>5993000</v>
      </c>
      <c r="F40" s="21" t="n">
        <v>12049000</v>
      </c>
      <c r="G40" s="16" t="inlineStr">
        <is>
          <t>13h00</t>
        </is>
      </c>
      <c r="H40" s="18" t="n"/>
    </row>
    <row r="41" ht="18" customHeight="1">
      <c r="B41" s="31" t="inlineStr">
        <is>
          <t>Antananarivo → Ambositra</t>
        </is>
      </c>
      <c r="C41" s="30" t="inlineStr">
        <is>
          <t>258 km</t>
        </is>
      </c>
      <c r="D41" s="35" t="n">
        <v>1405000</v>
      </c>
      <c r="E41" s="76" t="n">
        <v>2111000</v>
      </c>
      <c r="F41" s="35" t="n">
        <v>4310000</v>
      </c>
      <c r="G41" s="30" t="inlineStr">
        <is>
          <t>4h30</t>
        </is>
      </c>
      <c r="H41" s="32" t="n"/>
    </row>
    <row r="42" ht="18" customHeight="1">
      <c r="B42" s="17" t="inlineStr">
        <is>
          <t>Antananarivo → Moramanga</t>
        </is>
      </c>
      <c r="C42" s="16" t="inlineStr">
        <is>
          <t>109 km</t>
        </is>
      </c>
      <c r="D42" s="21" t="n">
        <v>628000</v>
      </c>
      <c r="E42" s="75" t="n">
        <v>950000</v>
      </c>
      <c r="F42" s="21" t="n">
        <v>1994000</v>
      </c>
      <c r="G42" s="16" t="inlineStr">
        <is>
          <t>2h00</t>
        </is>
      </c>
      <c r="H42" s="18" t="n"/>
    </row>
    <row r="43" ht="18" customHeight="1">
      <c r="B43" s="31" t="inlineStr">
        <is>
          <t>Antananarivo → Antalaha</t>
        </is>
      </c>
      <c r="C43" s="30" t="inlineStr">
        <is>
          <t>820 km</t>
        </is>
      </c>
      <c r="D43" s="35" t="n">
        <v>4335000</v>
      </c>
      <c r="E43" s="76" t="n">
        <v>6491000</v>
      </c>
      <c r="F43" s="35" t="n">
        <v>13044000</v>
      </c>
      <c r="G43" s="30" t="inlineStr">
        <is>
          <t>15h00</t>
        </is>
      </c>
      <c r="H43" s="32" t="n"/>
    </row>
    <row r="44" ht="18" customHeight="1">
      <c r="B44" s="17" t="inlineStr">
        <is>
          <t>Antananarivo → Fort-Dauphin</t>
        </is>
      </c>
      <c r="C44" s="16" t="inlineStr">
        <is>
          <t>950 km</t>
        </is>
      </c>
      <c r="D44" s="21" t="n">
        <v>5013000</v>
      </c>
      <c r="E44" s="75" t="n">
        <v>7505000</v>
      </c>
      <c r="F44" s="21" t="n">
        <v>15064000</v>
      </c>
      <c r="G44" s="16" t="inlineStr">
        <is>
          <t>18h00</t>
        </is>
      </c>
      <c r="H44" s="18" t="n"/>
    </row>
    <row r="45" ht="18" customHeight="1">
      <c r="B45" s="31" t="inlineStr">
        <is>
          <t>Toamasina → Mahajanga</t>
        </is>
      </c>
      <c r="C45" s="30" t="inlineStr">
        <is>
          <t>720 km</t>
        </is>
      </c>
      <c r="D45" s="35" t="n">
        <v>3814000</v>
      </c>
      <c r="E45" s="76" t="n">
        <v>5712000</v>
      </c>
      <c r="F45" s="35" t="n">
        <v>11490000</v>
      </c>
      <c r="G45" s="30" t="inlineStr">
        <is>
          <t>14h00</t>
        </is>
      </c>
      <c r="H45" s="32" t="n"/>
    </row>
    <row r="46" ht="18" customHeight="1">
      <c r="B46" s="17" t="inlineStr">
        <is>
          <t>Antsirabe → Fianarantsoa</t>
        </is>
      </c>
      <c r="C46" s="16" t="inlineStr">
        <is>
          <t>237 km</t>
        </is>
      </c>
      <c r="D46" s="21" t="n">
        <v>1296000</v>
      </c>
      <c r="E46" s="75" t="n">
        <v>1947000</v>
      </c>
      <c r="F46" s="21" t="n">
        <v>3983000</v>
      </c>
      <c r="G46" s="16" t="inlineStr">
        <is>
          <t>4h30</t>
        </is>
      </c>
      <c r="H46" s="18" t="n"/>
    </row>
    <row r="47" ht="18" customHeight="1">
      <c r="B47" s="31" t="inlineStr">
        <is>
          <t>Mahajanga → Antsiranana</t>
        </is>
      </c>
      <c r="C47" s="30" t="inlineStr">
        <is>
          <t>620 km</t>
        </is>
      </c>
      <c r="D47" s="35" t="n">
        <v>3293000</v>
      </c>
      <c r="E47" s="76" t="n">
        <v>4933000</v>
      </c>
      <c r="F47" s="35" t="n">
        <v>9936000</v>
      </c>
      <c r="G47" s="30" t="inlineStr">
        <is>
          <t>11h30</t>
        </is>
      </c>
      <c r="H47" s="32" t="n"/>
    </row>
    <row r="48" ht="8" customHeight="1"/>
    <row r="49" ht="22" customHeight="1">
      <c r="B49" s="12" t="inlineStr">
        <is>
          <t xml:space="preserve">  📊  COEFFICIENTS DE MAJORATION  (marchandise / situation)</t>
        </is>
      </c>
    </row>
    <row r="50" ht="26" customHeight="1">
      <c r="B50" s="63" t="inlineStr">
        <is>
          <t>TYPE / SITUATION</t>
        </is>
      </c>
      <c r="C50" s="64" t="inlineStr">
        <is>
          <t>COEFF.</t>
        </is>
      </c>
      <c r="D50" s="64" t="inlineStr">
        <is>
          <t>SURCHARGE</t>
        </is>
      </c>
      <c r="E50" s="63" t="inlineStr">
        <is>
          <t>NOTES</t>
        </is>
      </c>
      <c r="F50" s="15" t="n"/>
      <c r="G50" s="15" t="n"/>
      <c r="H50" s="15" t="n"/>
    </row>
    <row r="51" ht="18" customHeight="1">
      <c r="B51" s="17" t="inlineStr">
        <is>
          <t>Marchandises générales (référence)</t>
        </is>
      </c>
      <c r="C51" s="77" t="inlineStr">
        <is>
          <t>×1.00</t>
        </is>
      </c>
      <c r="D51" s="68" t="n">
        <v>0</v>
      </c>
      <c r="E51" s="78" t="inlineStr">
        <is>
          <t>Tarif de base</t>
        </is>
      </c>
      <c r="F51" s="18" t="n"/>
      <c r="G51" s="18" t="n"/>
      <c r="H51" s="18" t="n"/>
    </row>
    <row r="52" ht="18" customHeight="1">
      <c r="B52" s="31" t="inlineStr">
        <is>
          <t>Produits périssables / alimentaires</t>
        </is>
      </c>
      <c r="C52" s="79" t="inlineStr">
        <is>
          <t>×1.35</t>
        </is>
      </c>
      <c r="D52" s="73" t="n">
        <v>20000</v>
      </c>
      <c r="E52" s="80" t="inlineStr">
        <is>
          <t>Urgence + conditionnement</t>
        </is>
      </c>
      <c r="F52" s="32" t="n"/>
      <c r="G52" s="32" t="n"/>
      <c r="H52" s="32" t="n"/>
    </row>
    <row r="53" ht="18" customHeight="1">
      <c r="B53" s="17" t="inlineStr">
        <is>
          <t>Marchandises fragiles / électroniques</t>
        </is>
      </c>
      <c r="C53" s="77" t="inlineStr">
        <is>
          <t>×1.25</t>
        </is>
      </c>
      <c r="D53" s="68" t="n">
        <v>15000</v>
      </c>
      <c r="E53" s="78" t="inlineStr">
        <is>
          <t>Emballage soigné</t>
        </is>
      </c>
      <c r="F53" s="18" t="n"/>
      <c r="G53" s="18" t="n"/>
      <c r="H53" s="18" t="n"/>
    </row>
    <row r="54" ht="18" customHeight="1">
      <c r="B54" s="31" t="inlineStr">
        <is>
          <t>Matériaux lourds (ciment, ferraille)</t>
        </is>
      </c>
      <c r="C54" s="79" t="inlineStr">
        <is>
          <t>×1.15</t>
        </is>
      </c>
      <c r="D54" s="73" t="n">
        <v>10000</v>
      </c>
      <c r="E54" s="80" t="inlineStr">
        <is>
          <t>Renforcement camion</t>
        </is>
      </c>
      <c r="F54" s="32" t="n"/>
      <c r="G54" s="32" t="n"/>
      <c r="H54" s="32" t="n"/>
    </row>
    <row r="55" ht="18" customHeight="1">
      <c r="B55" s="17" t="inlineStr">
        <is>
          <t>Produits dangereux (ADR homologués)</t>
        </is>
      </c>
      <c r="C55" s="77" t="inlineStr">
        <is>
          <t>×1.80</t>
        </is>
      </c>
      <c r="D55" s="68" t="n">
        <v>50000</v>
      </c>
      <c r="E55" s="78" t="inlineStr">
        <is>
          <t>Conformité réglementaire</t>
        </is>
      </c>
      <c r="F55" s="18" t="n"/>
      <c r="G55" s="18" t="n"/>
      <c r="H55" s="18" t="n"/>
    </row>
    <row r="56" ht="18" customHeight="1">
      <c r="B56" s="31" t="inlineStr">
        <is>
          <t>Conteneur chargé (FCL)</t>
        </is>
      </c>
      <c r="C56" s="79" t="inlineStr">
        <is>
          <t>×2.10</t>
        </is>
      </c>
      <c r="D56" s="73" t="n">
        <v>80000</v>
      </c>
      <c r="E56" s="80" t="inlineStr">
        <is>
          <t>Équipement spécial</t>
        </is>
      </c>
      <c r="F56" s="32" t="n"/>
      <c r="G56" s="32" t="n"/>
      <c r="H56" s="32" t="n"/>
    </row>
    <row r="57" ht="18" customHeight="1">
      <c r="B57" s="17" t="inlineStr">
        <is>
          <t>Convoi exceptionnel (&gt;48T)</t>
        </is>
      </c>
      <c r="C57" s="77" t="inlineStr">
        <is>
          <t>×3.00</t>
        </is>
      </c>
      <c r="D57" s="68" t="n">
        <v>120000</v>
      </c>
      <c r="E57" s="78" t="inlineStr">
        <is>
          <t>Escorte police obligatoire</t>
        </is>
      </c>
      <c r="F57" s="18" t="n"/>
      <c r="G57" s="18" t="n"/>
      <c r="H57" s="18" t="n"/>
    </row>
    <row r="58" ht="18" customHeight="1">
      <c r="B58" s="31" t="inlineStr">
        <is>
          <t>Animaux vivants</t>
        </is>
      </c>
      <c r="C58" s="79" t="inlineStr">
        <is>
          <t>×1.60</t>
        </is>
      </c>
      <c r="D58" s="73" t="n">
        <v>35000</v>
      </c>
      <c r="E58" s="80" t="inlineStr">
        <is>
          <t>Conditions spéciales</t>
        </is>
      </c>
      <c r="F58" s="32" t="n"/>
      <c r="G58" s="32" t="n"/>
      <c r="H58" s="32" t="n"/>
    </row>
    <row r="59" ht="18" customHeight="1">
      <c r="B59" s="17" t="inlineStr">
        <is>
          <t>Service express (J+1)</t>
        </is>
      </c>
      <c r="C59" s="77" t="inlineStr">
        <is>
          <t>+30%</t>
        </is>
      </c>
      <c r="D59" s="68" t="n">
        <v>25000</v>
      </c>
      <c r="E59" s="78" t="inlineStr">
        <is>
          <t>Majoration urgence</t>
        </is>
      </c>
      <c r="F59" s="18" t="n"/>
      <c r="G59" s="18" t="n"/>
      <c r="H59" s="18" t="n"/>
    </row>
    <row r="60" ht="18" customHeight="1">
      <c r="B60" s="31" t="inlineStr">
        <is>
          <t>Livraison de nuit (22h-6h)</t>
        </is>
      </c>
      <c r="C60" s="79" t="inlineStr">
        <is>
          <t>+20%</t>
        </is>
      </c>
      <c r="D60" s="73" t="n">
        <v>18000</v>
      </c>
      <c r="E60" s="80" t="inlineStr">
        <is>
          <t>Majoration horaire</t>
        </is>
      </c>
      <c r="F60" s="32" t="n"/>
      <c r="G60" s="32" t="n"/>
      <c r="H60" s="32" t="n"/>
    </row>
    <row r="61" ht="18" customHeight="1">
      <c r="B61" s="17" t="inlineStr">
        <is>
          <t>Zones rurales / pistes dégradées</t>
        </is>
      </c>
      <c r="C61" s="77" t="inlineStr">
        <is>
          <t>+25%</t>
        </is>
      </c>
      <c r="D61" s="68" t="n">
        <v>22000</v>
      </c>
      <c r="E61" s="78" t="inlineStr">
        <is>
          <t>Usure + surconsommation</t>
        </is>
      </c>
      <c r="F61" s="18" t="n"/>
      <c r="G61" s="18" t="n"/>
      <c r="H61" s="18" t="n"/>
    </row>
    <row r="62" ht="18" customHeight="1">
      <c r="B62" s="31" t="inlineStr">
        <is>
          <t>Transport frigorifique</t>
        </is>
      </c>
      <c r="C62" s="79" t="inlineStr">
        <is>
          <t>+40%</t>
        </is>
      </c>
      <c r="D62" s="73" t="n">
        <v>45000</v>
      </c>
      <c r="E62" s="80" t="inlineStr">
        <is>
          <t>Groupe froid (carburant compté à part)</t>
        </is>
      </c>
      <c r="F62" s="32" t="n"/>
      <c r="G62" s="32" t="n"/>
      <c r="H62" s="32" t="n"/>
    </row>
  </sheetData>
  <mergeCells count="41">
    <mergeCell ref="G43:H43"/>
    <mergeCell ref="E61:H61"/>
    <mergeCell ref="B49:H49"/>
    <mergeCell ref="E57:H57"/>
    <mergeCell ref="G42:H42"/>
    <mergeCell ref="E54:H54"/>
    <mergeCell ref="G36:H36"/>
    <mergeCell ref="B2:H5"/>
    <mergeCell ref="G39:H39"/>
    <mergeCell ref="E18:H18"/>
    <mergeCell ref="E53:H53"/>
    <mergeCell ref="E56:H56"/>
    <mergeCell ref="G38:H38"/>
    <mergeCell ref="E12:H12"/>
    <mergeCell ref="E50:H50"/>
    <mergeCell ref="E58:H58"/>
    <mergeCell ref="G37:H37"/>
    <mergeCell ref="E62:H62"/>
    <mergeCell ref="E55:H55"/>
    <mergeCell ref="E14:H14"/>
    <mergeCell ref="E52:H52"/>
    <mergeCell ref="B21:H21"/>
    <mergeCell ref="E51:H51"/>
    <mergeCell ref="G45:H45"/>
    <mergeCell ref="E19:H19"/>
    <mergeCell ref="E10:H10"/>
    <mergeCell ref="E13:H13"/>
    <mergeCell ref="G35:H35"/>
    <mergeCell ref="B8:H8"/>
    <mergeCell ref="E60:H60"/>
    <mergeCell ref="E9:H9"/>
    <mergeCell ref="B17:H17"/>
    <mergeCell ref="G47:H47"/>
    <mergeCell ref="G41:H41"/>
    <mergeCell ref="E15:H15"/>
    <mergeCell ref="E59:H59"/>
    <mergeCell ref="G44:H44"/>
    <mergeCell ref="G46:H46"/>
    <mergeCell ref="G40:H40"/>
    <mergeCell ref="E11:H11"/>
    <mergeCell ref="B34:H3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07B20"/>
    <outlinePr summaryBelow="1" summaryRight="1"/>
    <pageSetUpPr fitToPage="1"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18" customWidth="1" min="4" max="4"/>
    <col width="6" customWidth="1" min="5" max="5"/>
    <col width="16" customWidth="1" min="6" max="6"/>
    <col width="14" customWidth="1" min="7" max="7"/>
    <col width="3" customWidth="1" min="8" max="8"/>
  </cols>
  <sheetData>
    <row r="2">
      <c r="B2" s="81" t="inlineStr">
        <is>
          <t>🧮  CALCULATEUR DE PRIX RAPIDE — ONE WAY</t>
        </is>
      </c>
      <c r="C2" s="3" t="n"/>
      <c r="D2" s="3" t="n"/>
      <c r="E2" s="3" t="n"/>
      <c r="F2" s="3" t="n"/>
      <c r="G2" s="3" t="n"/>
    </row>
    <row r="3">
      <c r="B3" s="3" t="n"/>
      <c r="C3" s="3" t="n"/>
      <c r="D3" s="3" t="n"/>
      <c r="E3" s="3" t="n"/>
      <c r="F3" s="3" t="n"/>
      <c r="G3" s="3" t="n"/>
    </row>
    <row r="4">
      <c r="B4" s="3" t="n"/>
      <c r="C4" s="3" t="n"/>
      <c r="D4" s="3" t="n"/>
      <c r="E4" s="3" t="n"/>
      <c r="F4" s="3" t="n"/>
      <c r="G4" s="3" t="n"/>
    </row>
    <row r="5">
      <c r="B5" s="3" t="n"/>
      <c r="C5" s="3" t="n"/>
      <c r="D5" s="3" t="n"/>
      <c r="E5" s="3" t="n"/>
      <c r="F5" s="3" t="n"/>
      <c r="G5" s="3" t="n"/>
    </row>
    <row r="6" ht="8" customHeight="1"/>
    <row r="8" ht="22" customHeight="1">
      <c r="B8" s="12" t="inlineStr">
        <is>
          <t xml:space="preserve">  📝  PARAMÈTRES DE LA DEMANDE</t>
        </is>
      </c>
    </row>
    <row r="9" ht="21" customHeight="1">
      <c r="B9" s="53" t="inlineStr">
        <is>
          <t>Distance du trajet — aller (km)</t>
        </is>
      </c>
      <c r="C9" s="82" t="n">
        <v>357</v>
      </c>
      <c r="D9" s="55" t="inlineStr">
        <is>
          <t>km</t>
        </is>
      </c>
      <c r="F9" s="7" t="inlineStr">
        <is>
          <t>Véhicule :</t>
        </is>
      </c>
    </row>
    <row r="10" ht="21" customHeight="1">
      <c r="B10" s="53" t="inlineStr">
        <is>
          <t>Type véhicule (1=Moto → 10=Cont40')</t>
        </is>
      </c>
      <c r="C10" s="82" t="n">
        <v>4</v>
      </c>
      <c r="D10" s="55" t="inlineStr">
        <is>
          <t>1 à 10</t>
        </is>
      </c>
      <c r="F10" s="5">
        <f>INDEX('⚙️ Paramètres'!$B$23:$B$32,C10)</f>
        <v/>
      </c>
    </row>
    <row r="11" ht="21" customHeight="1">
      <c r="B11" s="53" t="inlineStr">
        <is>
          <t>Poids de la marchandise</t>
        </is>
      </c>
      <c r="C11" s="82" t="n">
        <v>4000</v>
      </c>
      <c r="D11" s="55" t="inlineStr">
        <is>
          <t>kg</t>
        </is>
      </c>
    </row>
    <row r="12" ht="21" customHeight="1">
      <c r="B12" s="53" t="inlineStr">
        <is>
          <t>Valeur déclarée marchandise</t>
        </is>
      </c>
      <c r="C12" s="83" t="n">
        <v>20000000</v>
      </c>
      <c r="D12" s="55" t="inlineStr">
        <is>
          <t>Ar</t>
        </is>
      </c>
    </row>
    <row r="13" ht="21" customHeight="1">
      <c r="B13" s="53" t="inlineStr">
        <is>
          <t>Manutention chargement ?</t>
        </is>
      </c>
      <c r="C13" s="82" t="inlineStr">
        <is>
          <t>Oui</t>
        </is>
      </c>
      <c r="D13" s="55" t="inlineStr">
        <is>
          <t>Oui/Non</t>
        </is>
      </c>
    </row>
    <row r="14" ht="21" customHeight="1">
      <c r="B14" s="53" t="inlineStr">
        <is>
          <t>Manutention déchargement ?</t>
        </is>
      </c>
      <c r="C14" s="82" t="inlineStr">
        <is>
          <t>Oui</t>
        </is>
      </c>
      <c r="D14" s="55" t="inlineStr">
        <is>
          <t>Oui/Non</t>
        </is>
      </c>
    </row>
    <row r="15" ht="21" customHeight="1">
      <c r="B15" s="53" t="inlineStr">
        <is>
          <t>Aller-retour ?</t>
        </is>
      </c>
      <c r="C15" s="82" t="inlineStr">
        <is>
          <t>Oui</t>
        </is>
      </c>
      <c r="D15" s="55" t="inlineStr">
        <is>
          <t>Oui/Non</t>
        </is>
      </c>
    </row>
    <row r="16" ht="21" customHeight="1">
      <c r="B16" s="53" t="inlineStr">
        <is>
          <t>Remise à appliquer</t>
        </is>
      </c>
      <c r="C16" s="82" t="n">
        <v>0</v>
      </c>
      <c r="D16" s="55" t="inlineStr">
        <is>
          <t>%</t>
        </is>
      </c>
    </row>
    <row r="17" ht="21" customHeight="1">
      <c r="B17" s="53" t="inlineStr">
        <is>
          <t>TVA ?</t>
        </is>
      </c>
      <c r="C17" s="82" t="inlineStr">
        <is>
          <t>Non</t>
        </is>
      </c>
      <c r="D17" s="55" t="inlineStr">
        <is>
          <t>Oui/Non</t>
        </is>
      </c>
    </row>
    <row r="18" ht="8" customHeight="1"/>
    <row r="19" ht="22" customHeight="1">
      <c r="B19" s="12" t="inlineStr">
        <is>
          <t xml:space="preserve">  💰  RÉSULTAT DU CALCUL AUTOMATIQUE</t>
        </is>
      </c>
    </row>
    <row r="20" ht="20" customHeight="1">
      <c r="B20" s="17" t="inlineStr">
        <is>
          <t>Frais kilométriques aller (hors carburant)</t>
        </is>
      </c>
      <c r="C20" s="84">
        <f>ROUND(C9*INDEX('⚙️ Paramètres'!$D$23:$D$32,C10)*(1+INDEX('⚙️ Paramètres'!$H$23:$H$32,C10)),0)</f>
        <v/>
      </c>
      <c r="D20" s="18" t="n"/>
    </row>
    <row r="21" ht="20" customHeight="1">
      <c r="B21" s="24" t="inlineStr">
        <is>
          <t>Carburant aller (selon type de véhicule)</t>
        </is>
      </c>
      <c r="C21" s="85">
        <f>ROUND(C9*INDEX('⚙️ Paramètres'!$F$23:$F$32,C10),0)</f>
        <v/>
      </c>
      <c r="D21" s="25" t="n"/>
    </row>
    <row r="22" ht="20" customHeight="1">
      <c r="B22" s="24" t="inlineStr">
        <is>
          <t>Retour véhicule à vide (repositionnement)</t>
        </is>
      </c>
      <c r="C22" s="85">
        <f>IF(C15="Oui",ROUND((C20+C21)*'⚙️ Paramètres'!$C$15,0),0)</f>
        <v/>
      </c>
      <c r="D22" s="25" t="n"/>
    </row>
    <row r="23" ht="20" customHeight="1">
      <c r="B23" s="31" t="inlineStr">
        <is>
          <t>Forfait de base véhicule</t>
        </is>
      </c>
      <c r="C23" s="86">
        <f>INDEX('⚙️ Paramètres'!$G$23:$G$32,C10)</f>
        <v/>
      </c>
      <c r="D23" s="32" t="n"/>
    </row>
    <row r="24" ht="20" customHeight="1">
      <c r="B24" s="17" t="inlineStr">
        <is>
          <t>Manutention chargement</t>
        </is>
      </c>
      <c r="C24" s="84">
        <f>IF(C13="Oui",ROUND(INDEX('⚙️ Paramètres'!$G$23:$G$32,C10)*0.15,0),0)</f>
        <v/>
      </c>
      <c r="D24" s="18" t="n"/>
    </row>
    <row r="25" ht="20" customHeight="1">
      <c r="B25" s="31" t="inlineStr">
        <is>
          <t>Manutention déchargement</t>
        </is>
      </c>
      <c r="C25" s="86">
        <f>IF(C14="Oui",ROUND(INDEX('⚙️ Paramètres'!$G$23:$G$32,C10)*0.15,0),0)</f>
        <v/>
      </c>
      <c r="D25" s="32" t="n"/>
    </row>
    <row r="26" ht="20" customHeight="1">
      <c r="B26" s="17" t="inlineStr">
        <is>
          <t>Assurance (0,5% valeur déclarée)</t>
        </is>
      </c>
      <c r="C26" s="84">
        <f>ROUND(C12*0.005,0)</f>
        <v/>
      </c>
      <c r="D26" s="18" t="n"/>
    </row>
    <row r="27" ht="20" customHeight="1">
      <c r="B27" s="31" t="inlineStr">
        <is>
          <t>Frais divers (péages, 3% du transport)</t>
        </is>
      </c>
      <c r="C27" s="86">
        <f>ROUND((C20+C22)*0.03,0)</f>
        <v/>
      </c>
      <c r="D27" s="32" t="n"/>
    </row>
    <row r="28" ht="22" customHeight="1">
      <c r="B28" s="87" t="inlineStr">
        <is>
          <t>SOUS-TOTAL H.T.</t>
        </is>
      </c>
      <c r="C28" s="88">
        <f>SUM(C20:C27)</f>
        <v/>
      </c>
      <c r="D28" s="89" t="n"/>
    </row>
    <row r="29">
      <c r="B29" s="90" t="inlineStr">
        <is>
          <t>Remise commerciale</t>
        </is>
      </c>
      <c r="C29" s="42">
        <f>-ROUND(C28*C16/100,0)</f>
        <v/>
      </c>
    </row>
    <row r="30">
      <c r="B30" s="90" t="inlineStr">
        <is>
          <t>TVA 20% (si applicable)</t>
        </is>
      </c>
      <c r="C30" s="91">
        <f>IF(C17="Oui",ROUND((C28+C29)*0.2,0),0)</f>
        <v/>
      </c>
    </row>
    <row r="31" ht="30" customHeight="1">
      <c r="B31" s="92" t="inlineStr">
        <is>
          <t>💰  TOTAL ESTIMÉ TTC</t>
        </is>
      </c>
      <c r="C31" s="93">
        <f>C28+C29+C30</f>
        <v/>
      </c>
    </row>
    <row r="32" ht="20" customHeight="1">
      <c r="B32" s="90" t="inlineStr">
        <is>
          <t>Prix moyen / km (aller)</t>
        </is>
      </c>
      <c r="C32" s="94">
        <f>IF(C9&gt;0,ROUND(C31/C9,0),0)</f>
        <v/>
      </c>
    </row>
  </sheetData>
  <mergeCells count="17">
    <mergeCell ref="B19:G19"/>
    <mergeCell ref="C20:D20"/>
    <mergeCell ref="C29:D29"/>
    <mergeCell ref="C21:D21"/>
    <mergeCell ref="C24:D24"/>
    <mergeCell ref="C30:D30"/>
    <mergeCell ref="B2:G5"/>
    <mergeCell ref="F10:G10"/>
    <mergeCell ref="C25:D25"/>
    <mergeCell ref="C32:D32"/>
    <mergeCell ref="C27:D27"/>
    <mergeCell ref="C26:D26"/>
    <mergeCell ref="B8:G8"/>
    <mergeCell ref="C28:D28"/>
    <mergeCell ref="C22:D22"/>
    <mergeCell ref="C31:D31"/>
    <mergeCell ref="C23:D23"/>
  </mergeCells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tabColor rgb="00C86A10"/>
    <outlinePr summaryBelow="1" summaryRight="1"/>
    <pageSetUpPr fitToPage="1"/>
  </sheetPr>
  <dimension ref="B2:L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24" customWidth="1" min="4" max="4"/>
    <col width="18" customWidth="1" min="5" max="5"/>
    <col width="18" customWidth="1" min="6" max="6"/>
    <col width="11" customWidth="1" min="7" max="7"/>
    <col width="16" customWidth="1" min="8" max="8"/>
    <col width="14" customWidth="1" min="9" max="9"/>
    <col width="14" customWidth="1" min="10" max="10"/>
    <col width="13" customWidth="1" min="11" max="11"/>
    <col width="18" customWidth="1" min="12" max="12"/>
    <col width="3" customWidth="1" min="13" max="13"/>
  </cols>
  <sheetData>
    <row r="2">
      <c r="B2" s="95" t="inlineStr">
        <is>
          <t>📊  HISTORIQUE DES DEVIS — ONE WAY (aller-retour)</t>
        </is>
      </c>
      <c r="C2" s="96" t="n"/>
      <c r="D2" s="96" t="n"/>
      <c r="E2" s="96" t="n"/>
      <c r="F2" s="96" t="n"/>
      <c r="G2" s="96" t="n"/>
      <c r="H2" s="96" t="n"/>
      <c r="I2" s="96" t="n"/>
      <c r="J2" s="96" t="n"/>
      <c r="K2" s="96" t="n"/>
      <c r="L2" s="96" t="n"/>
    </row>
    <row r="3"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</row>
    <row r="4">
      <c r="B4" s="96" t="n"/>
      <c r="C4" s="96" t="n"/>
      <c r="D4" s="96" t="n"/>
      <c r="E4" s="96" t="n"/>
      <c r="F4" s="96" t="n"/>
      <c r="G4" s="96" t="n"/>
      <c r="H4" s="96" t="n"/>
      <c r="I4" s="96" t="n"/>
      <c r="J4" s="96" t="n"/>
      <c r="K4" s="96" t="n"/>
      <c r="L4" s="96" t="n"/>
    </row>
    <row r="5" ht="8" customHeight="1"/>
    <row r="6" ht="26" customHeight="1">
      <c r="B6" s="64" t="inlineStr">
        <is>
          <t>N° DEVIS</t>
        </is>
      </c>
      <c r="C6" s="64" t="inlineStr">
        <is>
          <t>DATE</t>
        </is>
      </c>
      <c r="D6" s="63" t="inlineStr">
        <is>
          <t>CLIENT</t>
        </is>
      </c>
      <c r="E6" s="63" t="inlineStr">
        <is>
          <t>DÉPART</t>
        </is>
      </c>
      <c r="F6" s="63" t="inlineStr">
        <is>
          <t>ARRIVÉE</t>
        </is>
      </c>
      <c r="G6" s="64" t="inlineStr">
        <is>
          <t>DISTANCE</t>
        </is>
      </c>
      <c r="H6" s="63" t="inlineStr">
        <is>
          <t>VÉHICULE</t>
        </is>
      </c>
      <c r="I6" s="64" t="inlineStr">
        <is>
          <t>HT (Ar)</t>
        </is>
      </c>
      <c r="J6" s="64" t="inlineStr">
        <is>
          <t>TTC (Ar)</t>
        </is>
      </c>
      <c r="K6" s="64" t="inlineStr">
        <is>
          <t>STATUT</t>
        </is>
      </c>
      <c r="L6" s="63" t="inlineStr">
        <is>
          <t>NOTES</t>
        </is>
      </c>
    </row>
    <row r="7" ht="19" customHeight="1">
      <c r="B7" s="77" t="inlineStr">
        <is>
          <t>OW-0001</t>
        </is>
      </c>
      <c r="C7" s="16" t="inlineStr">
        <is>
          <t>15/05/2026</t>
        </is>
      </c>
      <c r="D7" s="17" t="inlineStr">
        <is>
          <t>Société ABC Import</t>
        </is>
      </c>
      <c r="E7" s="97" t="inlineStr">
        <is>
          <t>Analakely, Tanà</t>
        </is>
      </c>
      <c r="F7" s="97" t="inlineStr">
        <is>
          <t>Toamasina Port</t>
        </is>
      </c>
      <c r="G7" s="16" t="inlineStr">
        <is>
          <t>357 km</t>
        </is>
      </c>
      <c r="H7" s="98" t="inlineStr">
        <is>
          <t>Camion 5T</t>
        </is>
      </c>
      <c r="I7" s="21" t="n">
        <v>2883000</v>
      </c>
      <c r="J7" s="75" t="n">
        <v>2883000</v>
      </c>
      <c r="K7" s="99" t="inlineStr">
        <is>
          <t>✅ Accepté</t>
        </is>
      </c>
      <c r="L7" s="78" t="inlineStr">
        <is>
          <t>Livraison OK</t>
        </is>
      </c>
    </row>
    <row r="8" ht="19" customHeight="1">
      <c r="B8" s="79" t="inlineStr">
        <is>
          <t>OW-0002</t>
        </is>
      </c>
      <c r="C8" s="30" t="inlineStr">
        <is>
          <t>18/05/2026</t>
        </is>
      </c>
      <c r="D8" s="31" t="inlineStr">
        <is>
          <t>Marie Rakoto</t>
        </is>
      </c>
      <c r="E8" s="100" t="inlineStr">
        <is>
          <t>Ivandry, Tanà</t>
        </is>
      </c>
      <c r="F8" s="100" t="inlineStr">
        <is>
          <t>Antsirabe Centre</t>
        </is>
      </c>
      <c r="G8" s="30" t="inlineStr">
        <is>
          <t>167 km</t>
        </is>
      </c>
      <c r="H8" s="101" t="inlineStr">
        <is>
          <t>Camionnette</t>
        </is>
      </c>
      <c r="I8" s="35" t="n">
        <v>931000</v>
      </c>
      <c r="J8" s="76" t="n">
        <v>931000</v>
      </c>
      <c r="K8" s="102" t="inlineStr">
        <is>
          <t>✅ Accepté</t>
        </is>
      </c>
      <c r="L8" s="80" t="inlineStr">
        <is>
          <t>Marchandises générales</t>
        </is>
      </c>
    </row>
    <row r="9" ht="19" customHeight="1">
      <c r="B9" s="77" t="inlineStr">
        <is>
          <t>OW-0003</t>
        </is>
      </c>
      <c r="C9" s="16" t="inlineStr">
        <is>
          <t>20/05/2026</t>
        </is>
      </c>
      <c r="D9" s="17" t="inlineStr">
        <is>
          <t>Export Mada SARL</t>
        </is>
      </c>
      <c r="E9" s="97" t="inlineStr">
        <is>
          <t>Tsaralalàna</t>
        </is>
      </c>
      <c r="F9" s="97" t="inlineStr">
        <is>
          <t>Mahajanga Port</t>
        </is>
      </c>
      <c r="G9" s="16" t="inlineStr">
        <is>
          <t>472 km</t>
        </is>
      </c>
      <c r="H9" s="98" t="inlineStr">
        <is>
          <t>Camion 5T</t>
        </is>
      </c>
      <c r="I9" s="21" t="n">
        <v>3779000</v>
      </c>
      <c r="J9" s="75" t="n">
        <v>3779000</v>
      </c>
      <c r="K9" s="99" t="inlineStr">
        <is>
          <t>✅ Accepté</t>
        </is>
      </c>
      <c r="L9" s="78" t="inlineStr">
        <is>
          <t>Périssables urgents</t>
        </is>
      </c>
    </row>
    <row r="10" ht="19" customHeight="1">
      <c r="B10" s="79" t="inlineStr">
        <is>
          <t>OW-0004</t>
        </is>
      </c>
      <c r="C10" s="30" t="inlineStr">
        <is>
          <t>21/05/2026</t>
        </is>
      </c>
      <c r="D10" s="31" t="inlineStr">
        <is>
          <t>Fara Rasolofo</t>
        </is>
      </c>
      <c r="E10" s="100" t="inlineStr">
        <is>
          <t>67 Ha, Tanà</t>
        </is>
      </c>
      <c r="F10" s="100" t="inlineStr">
        <is>
          <t>Fianarantsoa</t>
        </is>
      </c>
      <c r="G10" s="30" t="inlineStr">
        <is>
          <t>404 km</t>
        </is>
      </c>
      <c r="H10" s="101" t="inlineStr">
        <is>
          <t>Semi-remorque</t>
        </is>
      </c>
      <c r="I10" s="35" t="n">
        <v>6579000</v>
      </c>
      <c r="J10" s="76" t="n">
        <v>6579000</v>
      </c>
      <c r="K10" s="102" t="inlineStr">
        <is>
          <t>✅ Accepté</t>
        </is>
      </c>
      <c r="L10" s="80" t="inlineStr">
        <is>
          <t>Semi-remorque</t>
        </is>
      </c>
    </row>
    <row r="11" ht="19" customHeight="1">
      <c r="B11" s="77" t="inlineStr">
        <is>
          <t>OW-0005</t>
        </is>
      </c>
      <c r="C11" s="16" t="inlineStr">
        <is>
          <t>23/05/2026</t>
        </is>
      </c>
      <c r="D11" s="17" t="inlineStr">
        <is>
          <t>Solo Andria</t>
        </is>
      </c>
      <c r="E11" s="97" t="inlineStr">
        <is>
          <t>Ambohimangakely</t>
        </is>
      </c>
      <c r="F11" s="97" t="inlineStr">
        <is>
          <t>Moramanga</t>
        </is>
      </c>
      <c r="G11" s="16" t="inlineStr">
        <is>
          <t>109 km</t>
        </is>
      </c>
      <c r="H11" s="98" t="inlineStr">
        <is>
          <t>Moto-tricycle</t>
        </is>
      </c>
      <c r="I11" s="21" t="n">
        <v>365000</v>
      </c>
      <c r="J11" s="75" t="n">
        <v>365000</v>
      </c>
      <c r="K11" s="99" t="inlineStr">
        <is>
          <t>⏳ En attente</t>
        </is>
      </c>
      <c r="L11" s="78" t="inlineStr">
        <is>
          <t>En cours</t>
        </is>
      </c>
    </row>
    <row r="12" ht="19" customHeight="1">
      <c r="B12" s="79" t="inlineStr">
        <is>
          <t>OW-0006</t>
        </is>
      </c>
      <c r="C12" s="30" t="inlineStr">
        <is>
          <t>24/05/2026</t>
        </is>
      </c>
      <c r="D12" s="31" t="inlineStr">
        <is>
          <t>Haja Rabe</t>
        </is>
      </c>
      <c r="E12" s="100" t="inlineStr">
        <is>
          <t>Port Toamasina</t>
        </is>
      </c>
      <c r="F12" s="100" t="inlineStr">
        <is>
          <t>Ambositra</t>
        </is>
      </c>
      <c r="G12" s="30" t="inlineStr">
        <is>
          <t>460 km</t>
        </is>
      </c>
      <c r="H12" s="101" t="inlineStr">
        <is>
          <t>Camion 5T</t>
        </is>
      </c>
      <c r="I12" s="35" t="n">
        <v>3685000</v>
      </c>
      <c r="J12" s="76" t="n">
        <v>3685000</v>
      </c>
      <c r="K12" s="102" t="inlineStr">
        <is>
          <t>❌ Refusé</t>
        </is>
      </c>
      <c r="L12" s="80" t="inlineStr">
        <is>
          <t>Prix refusé</t>
        </is>
      </c>
    </row>
    <row r="13" ht="19" customHeight="1">
      <c r="B13" s="77" t="inlineStr">
        <is>
          <t>OW-0007</t>
        </is>
      </c>
      <c r="C13" s="16" t="inlineStr">
        <is>
          <t>25/05/2026</t>
        </is>
      </c>
      <c r="D13" s="17" t="inlineStr">
        <is>
          <t>Tanà Distribution</t>
        </is>
      </c>
      <c r="E13" s="97" t="inlineStr">
        <is>
          <t>Analakely, Tanà</t>
        </is>
      </c>
      <c r="F13" s="97" t="inlineStr">
        <is>
          <t>Antsirabe</t>
        </is>
      </c>
      <c r="G13" s="16" t="inlineStr">
        <is>
          <t>167 km</t>
        </is>
      </c>
      <c r="H13" s="98" t="inlineStr">
        <is>
          <t>Camionnette</t>
        </is>
      </c>
      <c r="I13" s="21" t="n">
        <v>931000</v>
      </c>
      <c r="J13" s="75" t="n">
        <v>931000</v>
      </c>
      <c r="K13" s="99" t="inlineStr">
        <is>
          <t>⏳ En attente</t>
        </is>
      </c>
      <c r="L13" s="78" t="inlineStr">
        <is>
          <t>Devis émis</t>
        </is>
      </c>
    </row>
    <row r="14" ht="22" customHeight="1">
      <c r="B14" s="103" t="inlineStr">
        <is>
          <t>TOTAL (devis acceptés)</t>
        </is>
      </c>
      <c r="C14" s="46" t="n"/>
      <c r="D14" s="46" t="n"/>
      <c r="E14" s="46" t="n"/>
      <c r="F14" s="46" t="n"/>
      <c r="G14" s="46" t="n"/>
      <c r="H14" s="46" t="n"/>
      <c r="I14" s="104">
        <f>SUMIF(K7:K13,"✅ Accepté",I7:I13)</f>
        <v/>
      </c>
      <c r="J14" s="103">
        <f>COUNTIF(K7:K13,"✅ Accepté")&amp;" acceptés"</f>
        <v/>
      </c>
      <c r="K14" s="46" t="n"/>
      <c r="L14" s="46" t="n"/>
    </row>
    <row r="16" ht="22" customHeight="1">
      <c r="B16" s="105" t="inlineStr">
        <is>
          <t xml:space="preserve">  📈  STATISTIQUES RAPIDES</t>
        </is>
      </c>
    </row>
    <row r="17" ht="19" customHeight="1">
      <c r="B17" s="53" t="inlineStr">
        <is>
          <t>Devis émis</t>
        </is>
      </c>
      <c r="C17" s="106">
        <f>COUNTA(B7:B13)</f>
        <v/>
      </c>
    </row>
    <row r="18" ht="19" customHeight="1">
      <c r="B18" s="53" t="inlineStr">
        <is>
          <t>Devis acceptés</t>
        </is>
      </c>
      <c r="C18" s="106">
        <f>COUNTIF(K7:K13,"✅ Accepté")</f>
        <v/>
      </c>
    </row>
    <row r="19" ht="19" customHeight="1">
      <c r="B19" s="53" t="inlineStr">
        <is>
          <t>Taux de conversion</t>
        </is>
      </c>
      <c r="C19" s="107">
        <f>IFERROR(COUNTIF(K7:K13,"✅ Accepté")/COUNTA(B7:B13),0)</f>
        <v/>
      </c>
    </row>
    <row r="20" ht="19" customHeight="1">
      <c r="B20" s="53" t="inlineStr">
        <is>
          <t>CA total (acceptés)</t>
        </is>
      </c>
      <c r="C20" s="108">
        <f>SUMIF(K7:K13,"✅ Accepté",I7:I13)</f>
        <v/>
      </c>
    </row>
    <row r="21" ht="19" customHeight="1">
      <c r="B21" s="53" t="inlineStr">
        <is>
          <t>Montant moyen / devis</t>
        </is>
      </c>
      <c r="C21" s="108">
        <f>IFERROR(AVERAGE(I7:I13),0)</f>
        <v/>
      </c>
    </row>
  </sheetData>
  <mergeCells count="3">
    <mergeCell ref="B16:L16"/>
    <mergeCell ref="B14:H14"/>
    <mergeCell ref="B2:L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2026-06-29T22:37:13Z</dcterms:created>
  <dcterms:modified xsi:type="dcterms:W3CDTF">2026-06-29T22:37:13Z</dcterms:modified>
</cp:coreProperties>
</file>