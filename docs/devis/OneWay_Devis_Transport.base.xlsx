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90" windowHeight="7785"/>
  </bookViews>
  <sheets>
    <sheet name="📋 Devis Client" sheetId="1" r:id="rId1"/>
    <sheet name="⚙️ Paramètres" sheetId="2" r:id="rId2"/>
    <sheet name="🧮 Calculateur Rapide" sheetId="3" r:id="rId3"/>
    <sheet name="📊 Historique Devis" sheetId="4" r:id="rId4"/>
  </sheets>
  <definedNames>
    <definedName name="_xlnm.Print_Area" localSheetId="0">'📋 Devis Client'!$A$2:$J$73</definedName>
  </definedNames>
  <calcPr calcId="162913"/>
</workbook>
</file>

<file path=xl/calcChain.xml><?xml version="1.0" encoding="utf-8"?>
<calcChain xmlns="http://schemas.openxmlformats.org/spreadsheetml/2006/main">
  <c r="B47" i="1" l="1"/>
  <c r="B48" i="1"/>
  <c r="B34" i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33" i="1"/>
  <c r="B32" i="1"/>
  <c r="C21" i="4"/>
  <c r="C20" i="4"/>
  <c r="C19" i="4"/>
  <c r="C18" i="4"/>
  <c r="C17" i="4"/>
  <c r="J14" i="4"/>
  <c r="I14" i="4"/>
  <c r="C30" i="3"/>
  <c r="C26" i="3"/>
  <c r="C25" i="3"/>
  <c r="C24" i="3"/>
  <c r="C23" i="3"/>
  <c r="C20" i="3"/>
  <c r="C28" i="3" s="1"/>
  <c r="F10" i="3"/>
  <c r="F32" i="2"/>
  <c r="F31" i="2"/>
  <c r="F30" i="2"/>
  <c r="F29" i="2"/>
  <c r="F28" i="2"/>
  <c r="F27" i="2"/>
  <c r="F26" i="2"/>
  <c r="C21" i="3" s="1"/>
  <c r="C22" i="3" s="1"/>
  <c r="C27" i="3" s="1"/>
  <c r="F25" i="2"/>
  <c r="F24" i="2"/>
  <c r="F23" i="2"/>
  <c r="G52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H32" i="1"/>
  <c r="I32" i="1" s="1"/>
  <c r="I31" i="1"/>
  <c r="H12" i="1"/>
  <c r="F12" i="1"/>
  <c r="C12" i="1"/>
  <c r="H33" i="1" l="1"/>
  <c r="I33" i="1" s="1"/>
  <c r="G49" i="1" s="1"/>
  <c r="C29" i="3"/>
  <c r="C31" i="3"/>
  <c r="C32" i="3" s="1"/>
  <c r="G50" i="1" l="1"/>
  <c r="G51" i="1" s="1"/>
  <c r="G53" i="1" s="1"/>
</calcChain>
</file>

<file path=xl/sharedStrings.xml><?xml version="1.0" encoding="utf-8"?>
<sst xmlns="http://schemas.openxmlformats.org/spreadsheetml/2006/main" count="403" uniqueCount="343">
  <si>
    <t>DEVIS DE TRANSPORT</t>
  </si>
  <si>
    <t>Transport · Livraison · Suivi Digital</t>
  </si>
  <si>
    <t>N° DEVIS :</t>
  </si>
  <si>
    <t>DATE :</t>
  </si>
  <si>
    <t>VALIDE JUSQU'AU :</t>
  </si>
  <si>
    <t xml:space="preserve">  👤  INFORMATIONS CLIENT</t>
  </si>
  <si>
    <t xml:space="preserve">  🚛  ONE WAY — TRANSPORT</t>
  </si>
  <si>
    <t>Nom / Société :</t>
  </si>
  <si>
    <t>Nom du client</t>
  </si>
  <si>
    <t>Société :</t>
  </si>
  <si>
    <t>One Way SARL</t>
  </si>
  <si>
    <t>Adresse :</t>
  </si>
  <si>
    <t>Adresse complète</t>
  </si>
  <si>
    <t>Antananarivo, Madagascar</t>
  </si>
  <si>
    <t>Ville :</t>
  </si>
  <si>
    <t>Antananarivo</t>
  </si>
  <si>
    <t>Téléphone :</t>
  </si>
  <si>
    <t>+261 XX XXX XX XX</t>
  </si>
  <si>
    <t>Email :</t>
  </si>
  <si>
    <t>contact@oneway.mg</t>
  </si>
  <si>
    <t>client@email.mg</t>
  </si>
  <si>
    <t>MVola :</t>
  </si>
  <si>
    <t>0XX XX XXX XX</t>
  </si>
  <si>
    <t>N° Client :</t>
  </si>
  <si>
    <t>OW-CLI-001</t>
  </si>
  <si>
    <t>NIF / STAT :</t>
  </si>
  <si>
    <t>XXX XXX XXX</t>
  </si>
  <si>
    <t xml:space="preserve">  📍  PARAMÈTRES DU TRANSPORT</t>
  </si>
  <si>
    <t>Point de chargement :</t>
  </si>
  <si>
    <t>Point de livraison :</t>
  </si>
  <si>
    <t>Toamasina</t>
  </si>
  <si>
    <t>Distance estimée (km) :</t>
  </si>
  <si>
    <t>Trajet :</t>
  </si>
  <si>
    <t>Aller-retour</t>
  </si>
  <si>
    <t>Type de véhicule :</t>
  </si>
  <si>
    <t>Camion 5 tonnes</t>
  </si>
  <si>
    <t>Type de marchandise :</t>
  </si>
  <si>
    <t>Générale</t>
  </si>
  <si>
    <t>Date de transport :</t>
  </si>
  <si>
    <t>—</t>
  </si>
  <si>
    <t>Durée estimée :</t>
  </si>
  <si>
    <t>5h30 (aller)</t>
  </si>
  <si>
    <t>Type de route :</t>
  </si>
  <si>
    <t>Route nationale</t>
  </si>
  <si>
    <t>Conditions particulières :</t>
  </si>
  <si>
    <t xml:space="preserve">  📦  DÉTAIL DES PRESTATIONS</t>
  </si>
  <si>
    <t>N°</t>
  </si>
  <si>
    <t>DÉSIGNATION / DESCRIPTION</t>
  </si>
  <si>
    <t>TYPE</t>
  </si>
  <si>
    <t>QTÉ</t>
  </si>
  <si>
    <t>UNITÉ</t>
  </si>
  <si>
    <t>P.U. (Ar)</t>
  </si>
  <si>
    <t>TOTAL (Ar)</t>
  </si>
  <si>
    <t>Transport marchandises — aller (chargé), tarif km</t>
  </si>
  <si>
    <t>Transport</t>
  </si>
  <si>
    <t>km</t>
  </si>
  <si>
    <t>Carburant</t>
  </si>
  <si>
    <t>litre</t>
  </si>
  <si>
    <t>Retour véhicule à vide (repositionnement)</t>
  </si>
  <si>
    <t>forfait</t>
  </si>
  <si>
    <t>Forfait prise en charge / frais fixes de base</t>
  </si>
  <si>
    <t>Majoration type de marchandise (coefficient)</t>
  </si>
  <si>
    <t>Supplément</t>
  </si>
  <si>
    <t>Manutention au chargement</t>
  </si>
  <si>
    <t>Main d'œuvre</t>
  </si>
  <si>
    <t>Manutention au déchargement</t>
  </si>
  <si>
    <t>Arrimage / sanglage / bâchage</t>
  </si>
  <si>
    <t>Sécurité</t>
  </si>
  <si>
    <t>Assurance marchandise (% valeur déclarée)</t>
  </si>
  <si>
    <t>Assurance</t>
  </si>
  <si>
    <t>% valeur</t>
  </si>
  <si>
    <t>Administratif</t>
  </si>
  <si>
    <t>dossier</t>
  </si>
  <si>
    <t>Gardiennage / stationnement de nuit</t>
  </si>
  <si>
    <t>nuit</t>
  </si>
  <si>
    <t>Supplément frigorifique (groupe froid / jour)</t>
  </si>
  <si>
    <t>jour</t>
  </si>
  <si>
    <t>Frais administratifs / documentation</t>
  </si>
  <si>
    <t>Ristournes / frais de barrière communale</t>
  </si>
  <si>
    <t>Emballage / palettisation / film étirable</t>
  </si>
  <si>
    <t>Conditionnement</t>
  </si>
  <si>
    <t>Stockage / entreposage temporaire</t>
  </si>
  <si>
    <t>Logistique</t>
  </si>
  <si>
    <t>Chauffeur supplémentaire (longue distance)</t>
  </si>
  <si>
    <t>Nettoyage / désinfection caisse (denrées, animaux)</t>
  </si>
  <si>
    <t>Entretien</t>
  </si>
  <si>
    <t>Supplément saison des pluies / piste dégradée</t>
  </si>
  <si>
    <t>SOUS-TOTAL H.T.</t>
  </si>
  <si>
    <t>Remise commerciale (%)  →</t>
  </si>
  <si>
    <t>Base imposable (après remise)</t>
  </si>
  <si>
    <t>TVA (Oui / Non)  →</t>
  </si>
  <si>
    <t>Non</t>
  </si>
  <si>
    <t>💰  TOTAL À PAYER (TTC)</t>
  </si>
  <si>
    <t xml:space="preserve">  💳  CONDITIONS DE PAIEMENT</t>
  </si>
  <si>
    <t>Mode de paiement :</t>
  </si>
  <si>
    <t>MVola / Orange Money / Airtel Money / Virement / Espèces</t>
  </si>
  <si>
    <t>Acompte requis :</t>
  </si>
  <si>
    <t>50% à la commande — 50% à la livraison</t>
  </si>
  <si>
    <t>N° MVola One Way :</t>
  </si>
  <si>
    <t>Délai de paiement :</t>
  </si>
  <si>
    <t>Paiement à réception ou selon accord</t>
  </si>
  <si>
    <t>Pénalités de retard :</t>
  </si>
  <si>
    <t>2% par semaine de retard</t>
  </si>
  <si>
    <t xml:space="preserve">  📝  CONDITIONS GÉNÉRALES</t>
  </si>
  <si>
    <t>• Ce devis est valable 30 jours à compter de la date d'émission.</t>
  </si>
  <si>
    <t>• Prix en Ariary (MGA) HT sauf mention contraire. Trajet facturé ALLER-RETOUR (le véhicule revient à son point de départ).</t>
  </si>
  <si>
    <t>• Le carburant est facturé au prix réel de la pompe ; un avenant s'applique en cas de forte variation du cours du gasoil.</t>
  </si>
  <si>
    <t>• Force majeure (météo, route coupée) : avenant tarifaire applicable.</t>
  </si>
  <si>
    <t>• Responsabilité limitée à la valeur déclarée des marchandises.</t>
  </si>
  <si>
    <t>• Pour toute modification, contactez-nous 48h avant le transport.</t>
  </si>
  <si>
    <t>Signature &amp; Cachet Client</t>
  </si>
  <si>
    <t>Pour One Way</t>
  </si>
  <si>
    <t>One Way SARL  ·  Transport · Livraison · Suivi Digital  ·  Antananarivo, Madagascar 🇲🇬</t>
  </si>
  <si>
    <t>⚙️  PARAMÈTRES &amp; TARIFS DE RÉFÉRENCE — ONE WAY</t>
  </si>
  <si>
    <t xml:space="preserve">  🏢  INFORMATIONS GÉNÉRALES</t>
  </si>
  <si>
    <t>Numéro séquence devis</t>
  </si>
  <si>
    <t>Auto-incrémenté</t>
  </si>
  <si>
    <t>Remise commerciale défaut</t>
  </si>
  <si>
    <t>%</t>
  </si>
  <si>
    <t>0 si aucune remise</t>
  </si>
  <si>
    <t>TVA applicable par défaut</t>
  </si>
  <si>
    <t>Oui ou Non</t>
  </si>
  <si>
    <t>Devise</t>
  </si>
  <si>
    <t>Ariary (MGA)</t>
  </si>
  <si>
    <t>Toutes valeurs en Ar</t>
  </si>
  <si>
    <t>Validité du devis</t>
  </si>
  <si>
    <t>jours</t>
  </si>
  <si>
    <t>Délai d'engagement du prix</t>
  </si>
  <si>
    <t>Trajet par défaut</t>
  </si>
  <si>
    <t>Le véhicule revient</t>
  </si>
  <si>
    <t>Coefficient retour à vide</t>
  </si>
  <si>
    <t>×</t>
  </si>
  <si>
    <t>0 = aller simple · 1 = retour plein</t>
  </si>
  <si>
    <t xml:space="preserve">  ⛽  PRIX DU CARBURANT  (modifiable selon le cours)</t>
  </si>
  <si>
    <t>Gasoil (diesel)</t>
  </si>
  <si>
    <t>/ litre</t>
  </si>
  <si>
    <t>Tous les frais de carburant se recalculent à partir de cette valeur.</t>
  </si>
  <si>
    <t>Essence (sans plomb)</t>
  </si>
  <si>
    <t xml:space="preserve">  🛣️  GRILLE TARIFAIRE KILOMÉTRIQUE  (tarif km HORS carburant + carburant par type)</t>
  </si>
  <si>
    <t>TYPE DE VÉHICULE</t>
  </si>
  <si>
    <t>CAPACITÉ</t>
  </si>
  <si>
    <t>TARIF/km
(hors carburant)</t>
  </si>
  <si>
    <t>CONSO
(L/100km)</t>
  </si>
  <si>
    <t>CARBURANT/km</t>
  </si>
  <si>
    <t>FORFAIT BASE</t>
  </si>
  <si>
    <t>MAJORATION</t>
  </si>
  <si>
    <t>🛵 Moto-taxi / Tricycle</t>
  </si>
  <si>
    <t>&lt; 200 kg</t>
  </si>
  <si>
    <t>🚐 Camionnette légère</t>
  </si>
  <si>
    <t>200 – 800 kg</t>
  </si>
  <si>
    <t>🚚 Camion 3 tonnes</t>
  </si>
  <si>
    <t>800 kg – 3 T</t>
  </si>
  <si>
    <t>🚚 Camion 5 tonnes</t>
  </si>
  <si>
    <t>3 T – 5 T</t>
  </si>
  <si>
    <t>🚛 Camion 10 tonnes</t>
  </si>
  <si>
    <t>5 T – 10 T</t>
  </si>
  <si>
    <t>🚛 Semi-remorque 20 T</t>
  </si>
  <si>
    <t>10 T – 20 T</t>
  </si>
  <si>
    <t>❄️ Camion frigorifique 5 T</t>
  </si>
  <si>
    <t>3 T – 5 T frigo</t>
  </si>
  <si>
    <t>🚜 Camion benne</t>
  </si>
  <si>
    <t>Jusqu'à 15 T</t>
  </si>
  <si>
    <t>📦 Conteneur 20 pieds</t>
  </si>
  <si>
    <t>Max 24 T</t>
  </si>
  <si>
    <t>📦 Conteneur 40 pieds</t>
  </si>
  <si>
    <t>Max 28 T</t>
  </si>
  <si>
    <t xml:space="preserve">  🗺️  ROUTES PRINCIPALES MADAGASCAR  (ALLER-RETOUR, général, carburant inclus)</t>
  </si>
  <si>
    <t>ROUTE</t>
  </si>
  <si>
    <t>DISTANCE</t>
  </si>
  <si>
    <t>CAMION 3T</t>
  </si>
  <si>
    <t>CAMION 5T</t>
  </si>
  <si>
    <t>SEMI-REM. 20T</t>
  </si>
  <si>
    <t>DURÉE MOY.</t>
  </si>
  <si>
    <t>Antananarivo → Toamasina</t>
  </si>
  <si>
    <t>357 km</t>
  </si>
  <si>
    <t>5h30</t>
  </si>
  <si>
    <t>Antananarivo → Antsirabe</t>
  </si>
  <si>
    <t>167 km</t>
  </si>
  <si>
    <t>3h00</t>
  </si>
  <si>
    <t>Antananarivo → Mahajanga</t>
  </si>
  <si>
    <t>472 km</t>
  </si>
  <si>
    <t>8h00</t>
  </si>
  <si>
    <t>Antananarivo → Fianarantsoa</t>
  </si>
  <si>
    <t>404 km</t>
  </si>
  <si>
    <t>7h00</t>
  </si>
  <si>
    <t>Antananarivo → Toliara</t>
  </si>
  <si>
    <t>756 km</t>
  </si>
  <si>
    <t>13h00</t>
  </si>
  <si>
    <t>Antananarivo → Ambositra</t>
  </si>
  <si>
    <t>258 km</t>
  </si>
  <si>
    <t>4h30</t>
  </si>
  <si>
    <t>Antananarivo → Moramanga</t>
  </si>
  <si>
    <t>109 km</t>
  </si>
  <si>
    <t>2h00</t>
  </si>
  <si>
    <t>Antananarivo → Antalaha</t>
  </si>
  <si>
    <t>820 km</t>
  </si>
  <si>
    <t>15h00</t>
  </si>
  <si>
    <t>Antananarivo → Fort-Dauphin</t>
  </si>
  <si>
    <t>950 km</t>
  </si>
  <si>
    <t>18h00</t>
  </si>
  <si>
    <t>Toamasina → Mahajanga</t>
  </si>
  <si>
    <t>720 km</t>
  </si>
  <si>
    <t>14h00</t>
  </si>
  <si>
    <t>Antsirabe → Fianarantsoa</t>
  </si>
  <si>
    <t>237 km</t>
  </si>
  <si>
    <t>Mahajanga → Antsiranana</t>
  </si>
  <si>
    <t>620 km</t>
  </si>
  <si>
    <t>11h30</t>
  </si>
  <si>
    <t xml:space="preserve">  📊  COEFFICIENTS DE MAJORATION  (marchandise / situation)</t>
  </si>
  <si>
    <t>TYPE / SITUATION</t>
  </si>
  <si>
    <t>COEFF.</t>
  </si>
  <si>
    <t>SURCHARGE</t>
  </si>
  <si>
    <t>NOTES</t>
  </si>
  <si>
    <t>Marchandises générales (référence)</t>
  </si>
  <si>
    <t>×1.00</t>
  </si>
  <si>
    <t>Tarif de base</t>
  </si>
  <si>
    <t>Produits périssables / alimentaires</t>
  </si>
  <si>
    <t>×1.35</t>
  </si>
  <si>
    <t>Urgence + conditionnement</t>
  </si>
  <si>
    <t>Marchandises fragiles / électroniques</t>
  </si>
  <si>
    <t>×1.25</t>
  </si>
  <si>
    <t>Emballage soigné</t>
  </si>
  <si>
    <t>Matériaux lourds (ciment, ferraille)</t>
  </si>
  <si>
    <t>×1.15</t>
  </si>
  <si>
    <t>Renforcement camion</t>
  </si>
  <si>
    <t>Produits dangereux (ADR homologués)</t>
  </si>
  <si>
    <t>×1.80</t>
  </si>
  <si>
    <t>Conformité réglementaire</t>
  </si>
  <si>
    <t>Conteneur chargé (FCL)</t>
  </si>
  <si>
    <t>×2.10</t>
  </si>
  <si>
    <t>Équipement spécial</t>
  </si>
  <si>
    <t>Convoi exceptionnel (&gt;48T)</t>
  </si>
  <si>
    <t>×3.00</t>
  </si>
  <si>
    <t>Escorte police obligatoire</t>
  </si>
  <si>
    <t>Animaux vivants</t>
  </si>
  <si>
    <t>×1.60</t>
  </si>
  <si>
    <t>Conditions spéciales</t>
  </si>
  <si>
    <t>Service express (J+1)</t>
  </si>
  <si>
    <t>+30%</t>
  </si>
  <si>
    <t>Majoration urgence</t>
  </si>
  <si>
    <t>Livraison de nuit (22h-6h)</t>
  </si>
  <si>
    <t>+20%</t>
  </si>
  <si>
    <t>Majoration horaire</t>
  </si>
  <si>
    <t>Zones rurales / pistes dégradées</t>
  </si>
  <si>
    <t>+25%</t>
  </si>
  <si>
    <t>Usure + surconsommation</t>
  </si>
  <si>
    <t>Transport frigorifique</t>
  </si>
  <si>
    <t>+40%</t>
  </si>
  <si>
    <t>Groupe froid (carburant compté à part)</t>
  </si>
  <si>
    <t>🧮  CALCULATEUR DE PRIX RAPIDE — ONE WAY</t>
  </si>
  <si>
    <t xml:space="preserve">  📝  PARAMÈTRES DE LA DEMANDE</t>
  </si>
  <si>
    <t>Distance du trajet — aller (km)</t>
  </si>
  <si>
    <t>Véhicule :</t>
  </si>
  <si>
    <t>Type véhicule (1=Moto → 10=Cont40')</t>
  </si>
  <si>
    <t>1 à 10</t>
  </si>
  <si>
    <t>Poids de la marchandise</t>
  </si>
  <si>
    <t>kg</t>
  </si>
  <si>
    <t>Valeur déclarée marchandise</t>
  </si>
  <si>
    <t>Ar</t>
  </si>
  <si>
    <t>Manutention chargement ?</t>
  </si>
  <si>
    <t>Oui</t>
  </si>
  <si>
    <t>Oui/Non</t>
  </si>
  <si>
    <t>Manutention déchargement ?</t>
  </si>
  <si>
    <t>Aller-retour ?</t>
  </si>
  <si>
    <t>Remise à appliquer</t>
  </si>
  <si>
    <t>TVA ?</t>
  </si>
  <si>
    <t xml:space="preserve">  💰  RÉSULTAT DU CALCUL AUTOMATIQUE</t>
  </si>
  <si>
    <t>Frais kilométriques aller (hors carburant)</t>
  </si>
  <si>
    <t>Carburant aller (selon type de véhicule)</t>
  </si>
  <si>
    <t>Forfait de base véhicule</t>
  </si>
  <si>
    <t>Manutention chargement</t>
  </si>
  <si>
    <t>Manutention déchargement</t>
  </si>
  <si>
    <t>Assurance (0,5% valeur déclarée)</t>
  </si>
  <si>
    <t>Frais divers (péages, 3% du transport)</t>
  </si>
  <si>
    <t>Remise commerciale</t>
  </si>
  <si>
    <t>TVA 20% (si applicable)</t>
  </si>
  <si>
    <t>💰  TOTAL ESTIMÉ TTC</t>
  </si>
  <si>
    <t>Prix moyen / km (aller)</t>
  </si>
  <si>
    <t>📊  HISTORIQUE DES DEVIS — ONE WAY (aller-retour)</t>
  </si>
  <si>
    <t>N° DEVIS</t>
  </si>
  <si>
    <t>DATE</t>
  </si>
  <si>
    <t>CLIENT</t>
  </si>
  <si>
    <t>DÉPART</t>
  </si>
  <si>
    <t>ARRIVÉE</t>
  </si>
  <si>
    <t>VÉHICULE</t>
  </si>
  <si>
    <t>HT (Ar)</t>
  </si>
  <si>
    <t>TTC (Ar)</t>
  </si>
  <si>
    <t>STATUT</t>
  </si>
  <si>
    <t>OW-0001</t>
  </si>
  <si>
    <t>15/05/2026</t>
  </si>
  <si>
    <t>Société ABC Import</t>
  </si>
  <si>
    <t>Analakely, Tanà</t>
  </si>
  <si>
    <t>Toamasina Port</t>
  </si>
  <si>
    <t>Camion 5T</t>
  </si>
  <si>
    <t>✅ Accepté</t>
  </si>
  <si>
    <t>Livraison OK</t>
  </si>
  <si>
    <t>OW-0002</t>
  </si>
  <si>
    <t>18/05/2026</t>
  </si>
  <si>
    <t>Marie Rakoto</t>
  </si>
  <si>
    <t>Ivandry, Tanà</t>
  </si>
  <si>
    <t>Antsirabe Centre</t>
  </si>
  <si>
    <t>Camionnette</t>
  </si>
  <si>
    <t>Marchandises générales</t>
  </si>
  <si>
    <t>OW-0003</t>
  </si>
  <si>
    <t>20/05/2026</t>
  </si>
  <si>
    <t>Export Mada SARL</t>
  </si>
  <si>
    <t>Tsaralalàna</t>
  </si>
  <si>
    <t>Mahajanga Port</t>
  </si>
  <si>
    <t>Périssables urgents</t>
  </si>
  <si>
    <t>OW-0004</t>
  </si>
  <si>
    <t>21/05/2026</t>
  </si>
  <si>
    <t>Fara Rasolofo</t>
  </si>
  <si>
    <t>67 Ha, Tanà</t>
  </si>
  <si>
    <t>Fianarantsoa</t>
  </si>
  <si>
    <t>Semi-remorque</t>
  </si>
  <si>
    <t>OW-0005</t>
  </si>
  <si>
    <t>23/05/2026</t>
  </si>
  <si>
    <t>Solo Andria</t>
  </si>
  <si>
    <t>Ambohimangakely</t>
  </si>
  <si>
    <t>Moramanga</t>
  </si>
  <si>
    <t>Moto-tricycle</t>
  </si>
  <si>
    <t>⏳ En attente</t>
  </si>
  <si>
    <t>En cours</t>
  </si>
  <si>
    <t>OW-0006</t>
  </si>
  <si>
    <t>24/05/2026</t>
  </si>
  <si>
    <t>Haja Rabe</t>
  </si>
  <si>
    <t>Port Toamasina</t>
  </si>
  <si>
    <t>Ambositra</t>
  </si>
  <si>
    <t>460 km</t>
  </si>
  <si>
    <t>❌ Refusé</t>
  </si>
  <si>
    <t>Prix refusé</t>
  </si>
  <si>
    <t>OW-0007</t>
  </si>
  <si>
    <t>25/05/2026</t>
  </si>
  <si>
    <t>Tanà Distribution</t>
  </si>
  <si>
    <t>Antsirabe</t>
  </si>
  <si>
    <t>Devis émis</t>
  </si>
  <si>
    <t>TOTAL (devis acceptés)</t>
  </si>
  <si>
    <t xml:space="preserve">  📈  STATISTIQUES RAPIDES</t>
  </si>
  <si>
    <t>Devis acceptés</t>
  </si>
  <si>
    <t>Taux de conversion</t>
  </si>
  <si>
    <t>CA total (acceptés)</t>
  </si>
  <si>
    <t>Montant moyen / devis</t>
  </si>
  <si>
    <t>Carburant aller-retour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</si>
</sst>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&quot; Ar&quot;"/>
    <numFmt numFmtId="165" formatCode="0&quot; L/100&quot;"/>
    <numFmt numFmtId="166" formatCode="&quot;+ &quot;0%"/>
  </numFmts>
  <fonts count="29" x14ac:knownFonts="1">
    <font>
      <sz val="11"/>
      <color theme="1"/>
      <name val="Calibri"/>
      <family val="2"/>
      <scheme val="minor"/>
    </font>
    <font>
      <b/>
      <sz val="22"/>
      <color rgb="FF1E3A5F"/>
      <name val="Calibri"/>
    </font>
    <font>
      <sz val="11"/>
      <color rgb="FFE07B20"/>
      <name val="Calibri"/>
    </font>
    <font>
      <b/>
      <sz val="9"/>
      <color rgb="FF5B6B7F"/>
      <name val="Calibri"/>
    </font>
    <font>
      <b/>
      <sz val="10"/>
      <color rgb="FF1E3A5F"/>
      <name val="Calibri"/>
    </font>
    <font>
      <b/>
      <sz val="10"/>
      <color rgb="FF1F2937"/>
      <name val="Calibri"/>
    </font>
    <font>
      <b/>
      <sz val="10"/>
      <color rgb="FFFFFFFF"/>
      <name val="Calibri"/>
    </font>
    <font>
      <sz val="10"/>
      <color rgb="FF1F2937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sz val="9"/>
      <color rgb="FF5B6B7F"/>
      <name val="Calibri"/>
    </font>
    <font>
      <sz val="9.5"/>
      <color rgb="FF1F2937"/>
      <name val="Calibri"/>
    </font>
    <font>
      <sz val="8.5"/>
      <color rgb="FF5B6B7F"/>
      <name val="Calibri"/>
    </font>
    <font>
      <b/>
      <sz val="9.5"/>
      <color rgb="FF1F2937"/>
      <name val="Calibri"/>
    </font>
    <font>
      <b/>
      <sz val="9.5"/>
      <color rgb="FF1E3A5F"/>
      <name val="Calibri"/>
    </font>
    <font>
      <b/>
      <sz val="11"/>
      <color rgb="FF1E3A5F"/>
      <name val="Calibri"/>
    </font>
    <font>
      <sz val="10"/>
      <color rgb="FF5B6B7F"/>
      <name val="Calibri"/>
    </font>
    <font>
      <b/>
      <sz val="10"/>
      <color rgb="FFC0392B"/>
      <name val="Calibri"/>
    </font>
    <font>
      <b/>
      <sz val="12"/>
      <color rgb="FFFFFFFF"/>
      <name val="Calibri"/>
    </font>
    <font>
      <b/>
      <sz val="13"/>
      <color rgb="FFFFFFFF"/>
      <name val="Calibri"/>
    </font>
    <font>
      <b/>
      <sz val="15"/>
      <color rgb="FFFFFFFF"/>
      <name val="Calibri"/>
    </font>
    <font>
      <i/>
      <sz val="9"/>
      <color rgb="FF5B6B7F"/>
      <name val="Calibri"/>
    </font>
    <font>
      <b/>
      <sz val="10"/>
      <color rgb="FFE07B20"/>
      <name val="Calibri"/>
    </font>
    <font>
      <b/>
      <sz val="11"/>
      <color rgb="FFE07B20"/>
      <name val="Calibri"/>
    </font>
    <font>
      <b/>
      <sz val="9.5"/>
      <color rgb="FFFFFFFF"/>
      <name val="Calibri"/>
    </font>
    <font>
      <b/>
      <sz val="9.5"/>
      <color rgb="FFE07B20"/>
      <name val="Calibri"/>
    </font>
    <font>
      <sz val="9.5"/>
      <color rgb="FF5B6B7F"/>
      <name val="Calibri"/>
    </font>
    <font>
      <b/>
      <sz val="14"/>
      <color rgb="FFFFFFFF"/>
      <name val="Calibri"/>
    </font>
    <font>
      <sz val="9"/>
      <color rgb="FF1F2937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07B20"/>
      </patternFill>
    </fill>
    <fill>
      <patternFill patternType="solid">
        <fgColor rgb="FF2A4A72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EAF0F7"/>
      </patternFill>
    </fill>
    <fill>
      <patternFill patternType="solid">
        <fgColor rgb="FFF7F9FC"/>
      </patternFill>
    </fill>
    <fill>
      <patternFill patternType="solid">
        <fgColor rgb="FFF4F7FB"/>
      </patternFill>
    </fill>
    <fill>
      <patternFill patternType="solid">
        <fgColor rgb="FFC86A10"/>
      </patternFill>
    </fill>
  </fills>
  <borders count="4">
    <border>
      <left/>
      <right/>
      <top/>
      <bottom/>
      <diagonal/>
    </border>
    <border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  <border>
      <left/>
      <right style="thin">
        <color rgb="FFC9D4E0"/>
      </right>
      <top style="thin">
        <color rgb="FFC9D4E0"/>
      </top>
      <bottom style="thin">
        <color rgb="FFC9D4E0"/>
      </bottom>
      <diagonal/>
    </border>
    <border>
      <left/>
      <right/>
      <top style="thin">
        <color rgb="FFC9D4E0"/>
      </top>
      <bottom style="thin">
        <color rgb="FFC9D4E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2" borderId="0" xfId="0" applyFill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right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right" vertical="center"/>
    </xf>
    <xf numFmtId="164" fontId="13" fillId="5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right" vertical="center"/>
    </xf>
    <xf numFmtId="164" fontId="13" fillId="6" borderId="1" xfId="0" applyNumberFormat="1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right" vertical="center"/>
    </xf>
    <xf numFmtId="164" fontId="13" fillId="7" borderId="1" xfId="0" applyNumberFormat="1" applyFont="1" applyFill="1" applyBorder="1" applyAlignment="1">
      <alignment horizontal="right" vertical="center"/>
    </xf>
    <xf numFmtId="1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4" borderId="0" xfId="0" applyFill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23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center" vertical="center" wrapText="1"/>
    </xf>
    <xf numFmtId="164" fontId="13" fillId="5" borderId="1" xfId="0" applyNumberFormat="1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164" fontId="25" fillId="5" borderId="1" xfId="0" applyNumberFormat="1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66" fontId="26" fillId="5" borderId="1" xfId="0" applyNumberFormat="1" applyFont="1" applyFill="1" applyBorder="1" applyAlignment="1">
      <alignment horizontal="center" vertical="center" wrapText="1"/>
    </xf>
    <xf numFmtId="164" fontId="13" fillId="7" borderId="1" xfId="0" applyNumberFormat="1" applyFont="1" applyFill="1" applyBorder="1" applyAlignment="1">
      <alignment horizontal="center" vertical="center" wrapText="1"/>
    </xf>
    <xf numFmtId="165" fontId="11" fillId="7" borderId="1" xfId="0" applyNumberFormat="1" applyFont="1" applyFill="1" applyBorder="1" applyAlignment="1">
      <alignment horizontal="center" vertical="center" wrapText="1"/>
    </xf>
    <xf numFmtId="164" fontId="25" fillId="7" borderId="1" xfId="0" applyNumberFormat="1" applyFont="1" applyFill="1" applyBorder="1" applyAlignment="1">
      <alignment horizontal="center" vertical="center" wrapText="1"/>
    </xf>
    <xf numFmtId="164" fontId="11" fillId="7" borderId="1" xfId="0" applyNumberFormat="1" applyFont="1" applyFill="1" applyBorder="1" applyAlignment="1">
      <alignment horizontal="center" vertical="center" wrapText="1"/>
    </xf>
    <xf numFmtId="166" fontId="26" fillId="7" borderId="1" xfId="0" applyNumberFormat="1" applyFont="1" applyFill="1" applyBorder="1" applyAlignment="1">
      <alignment horizontal="center" vertical="center" wrapText="1"/>
    </xf>
    <xf numFmtId="164" fontId="14" fillId="5" borderId="1" xfId="0" applyNumberFormat="1" applyFont="1" applyFill="1" applyBorder="1" applyAlignment="1">
      <alignment horizontal="right" vertical="center"/>
    </xf>
    <xf numFmtId="164" fontId="14" fillId="7" borderId="1" xfId="0" applyNumberFormat="1" applyFont="1" applyFill="1" applyBorder="1" applyAlignment="1">
      <alignment horizontal="right" vertical="center"/>
    </xf>
    <xf numFmtId="0" fontId="14" fillId="5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 wrapText="1"/>
    </xf>
    <xf numFmtId="164" fontId="15" fillId="6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/>
    </xf>
    <xf numFmtId="0" fontId="28" fillId="7" borderId="1" xfId="0" applyFont="1" applyFill="1" applyBorder="1" applyAlignment="1">
      <alignment horizontal="left" vertical="center"/>
    </xf>
    <xf numFmtId="0" fontId="28" fillId="7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right" vertical="center"/>
    </xf>
    <xf numFmtId="164" fontId="6" fillId="4" borderId="0" xfId="0" applyNumberFormat="1" applyFont="1" applyFill="1" applyAlignment="1">
      <alignment horizontal="right" vertical="center"/>
    </xf>
    <xf numFmtId="1" fontId="4" fillId="0" borderId="0" xfId="0" applyNumberFormat="1" applyFont="1" applyAlignment="1">
      <alignment horizontal="left" vertical="center"/>
    </xf>
    <xf numFmtId="9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0" fillId="0" borderId="2" xfId="0" applyBorder="1"/>
    <xf numFmtId="0" fontId="7" fillId="0" borderId="0" xfId="0" applyFont="1" applyAlignment="1">
      <alignment horizontal="left" vertical="center"/>
    </xf>
    <xf numFmtId="0" fontId="0" fillId="0" borderId="0" xfId="0"/>
    <xf numFmtId="164" fontId="15" fillId="8" borderId="0" xfId="0" applyNumberFormat="1" applyFont="1" applyFill="1" applyAlignment="1">
      <alignment horizontal="right" vertical="center"/>
    </xf>
    <xf numFmtId="0" fontId="11" fillId="7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6" fillId="0" borderId="0" xfId="0" applyFont="1" applyAlignment="1">
      <alignment horizontal="right" vertical="center"/>
    </xf>
    <xf numFmtId="164" fontId="17" fillId="0" borderId="0" xfId="0" applyNumberFormat="1" applyFont="1" applyAlignment="1">
      <alignment horizontal="right" vertical="center"/>
    </xf>
    <xf numFmtId="0" fontId="9" fillId="4" borderId="0" xfId="0" applyFont="1" applyFill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9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8" borderId="0" xfId="0" applyFont="1" applyFill="1" applyAlignment="1">
      <alignment horizontal="right" vertical="center"/>
    </xf>
    <xf numFmtId="0" fontId="18" fillId="4" borderId="0" xfId="0" applyFont="1" applyFill="1" applyAlignment="1">
      <alignment horizontal="right" vertical="center"/>
    </xf>
    <xf numFmtId="164" fontId="19" fillId="4" borderId="0" xfId="0" applyNumberFormat="1" applyFont="1" applyFill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/>
    </xf>
    <xf numFmtId="0" fontId="0" fillId="0" borderId="3" xfId="0" applyBorder="1"/>
    <xf numFmtId="0" fontId="10" fillId="5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/>
    </xf>
    <xf numFmtId="0" fontId="20" fillId="4" borderId="0" xfId="0" applyFont="1" applyFill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164" fontId="22" fillId="6" borderId="1" xfId="0" applyNumberFormat="1" applyFont="1" applyFill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20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15" fillId="8" borderId="1" xfId="0" applyNumberFormat="1" applyFont="1" applyFill="1" applyBorder="1" applyAlignment="1">
      <alignment horizontal="right" vertical="center"/>
    </xf>
    <xf numFmtId="164" fontId="27" fillId="4" borderId="0" xfId="0" applyNumberFormat="1" applyFont="1" applyFill="1" applyAlignment="1">
      <alignment horizontal="right" vertical="center"/>
    </xf>
    <xf numFmtId="0" fontId="8" fillId="9" borderId="0" xfId="0" applyFont="1" applyFill="1" applyAlignment="1">
      <alignment horizontal="left" vertical="center"/>
    </xf>
    <xf numFmtId="0" fontId="6" fillId="4" borderId="0" xfId="0" applyFont="1" applyFill="1" applyAlignment="1">
      <alignment horizontal="right" vertical="center"/>
    </xf>
    <xf numFmtId="0" fontId="20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66674</xdr:colOff>
      <xdr:row>1</xdr:row>
      <xdr:rowOff>0</xdr:rowOff>
    </xdr:from>
    <xdr:ext cx="1914525" cy="1724024"/>
    <xdr:pic>
      <xdr:nvPicPr>
        <xdr:cNvPr id="2" name="Image 1" descr="Picture"/>
        <xdr:cNvPicPr/>
      </xdr:nvPicPr>
      <xdr:blipFill rotWithShape="1">
        <a:blip xmlns:r="http://schemas.openxmlformats.org/officeDocument/2006/relationships" r:embed="rId1" cstate="print"/>
        <a:srcRect l="12556" t="7071" r="9866" b="13131"/>
        <a:stretch/>
      </xdr:blipFill>
      <xdr:spPr>
        <a:xfrm>
          <a:off x="266699" y="0"/>
          <a:ext cx="1914525" cy="172402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  <pageSetUpPr fitToPage="1"/>
  </sheetPr>
  <dimension ref="A1:I73"/>
  <sheetViews>
    <sheetView showGridLines="0" tabSelected="1" topLeftCell="A22" workbookViewId="0">
      <selection activeCell="F33" sqref="F33"/>
    </sheetView>
  </sheetViews>
  <sheetFormatPr baseColWidth="10" defaultColWidth="9.140625" defaultRowHeight="15" x14ac:dyDescent="0.25"/>
  <cols>
    <col min="1" max="1" width="0.5703125" customWidth="1"/>
    <col min="2" max="2" width="30" customWidth="1"/>
    <col min="3" max="3" width="20" customWidth="1"/>
    <col min="4" max="4" width="25.5703125" customWidth="1"/>
    <col min="5" max="5" width="15.28515625" customWidth="1"/>
    <col min="6" max="6" width="19.7109375" customWidth="1"/>
    <col min="7" max="8" width="16" customWidth="1"/>
    <col min="9" max="9" width="14" customWidth="1"/>
    <col min="10" max="10" width="3" customWidth="1"/>
  </cols>
  <sheetData>
    <row r="1" spans="2:9" ht="8.25" customHeight="1" x14ac:dyDescent="0.25">
      <c r="B1" s="1"/>
      <c r="C1" s="1"/>
      <c r="D1" s="1"/>
      <c r="E1" s="1"/>
      <c r="F1" s="1"/>
      <c r="G1" s="1"/>
      <c r="H1" s="1"/>
      <c r="I1" s="1"/>
    </row>
    <row r="3" spans="2:9" ht="18" customHeight="1" x14ac:dyDescent="0.25"/>
    <row r="4" spans="2:9" ht="18" customHeight="1" x14ac:dyDescent="0.25">
      <c r="E4" s="89" t="s">
        <v>0</v>
      </c>
      <c r="F4" s="74"/>
      <c r="G4" s="74"/>
      <c r="H4" s="74"/>
      <c r="I4" s="74"/>
    </row>
    <row r="5" spans="2:9" ht="18" customHeight="1" x14ac:dyDescent="0.25">
      <c r="E5" s="74"/>
      <c r="F5" s="74"/>
      <c r="G5" s="74"/>
      <c r="H5" s="74"/>
      <c r="I5" s="74"/>
    </row>
    <row r="6" spans="2:9" ht="18" customHeight="1" x14ac:dyDescent="0.25">
      <c r="E6" s="90" t="s">
        <v>1</v>
      </c>
      <c r="F6" s="74"/>
      <c r="G6" s="74"/>
      <c r="H6" s="74"/>
      <c r="I6" s="74"/>
    </row>
    <row r="7" spans="2:9" ht="18" customHeight="1" x14ac:dyDescent="0.25">
      <c r="E7" s="74"/>
      <c r="F7" s="74"/>
      <c r="G7" s="74"/>
      <c r="H7" s="74"/>
      <c r="I7" s="74"/>
    </row>
    <row r="8" spans="2:9" ht="18" customHeight="1" x14ac:dyDescent="0.25"/>
    <row r="9" spans="2:9" ht="18" customHeight="1" x14ac:dyDescent="0.25"/>
    <row r="10" spans="2:9" ht="8.25" customHeight="1" x14ac:dyDescent="0.25">
      <c r="B10" s="1"/>
      <c r="C10" s="1"/>
      <c r="D10" s="1"/>
      <c r="E10" s="1"/>
      <c r="F10" s="1"/>
      <c r="G10" s="1"/>
      <c r="H10" s="1"/>
      <c r="I10" s="1"/>
    </row>
    <row r="11" spans="2:9" ht="6" customHeight="1" x14ac:dyDescent="0.25"/>
    <row r="12" spans="2:9" ht="20.100000000000001" customHeight="1" x14ac:dyDescent="0.25">
      <c r="B12" s="2" t="s">
        <v>2</v>
      </c>
      <c r="C12" s="3" t="str">
        <f ca="1">"OW-"&amp;TEXT('⚙️ Paramètres'!C9,"0000")&amp;"-"&amp;TEXT(TODAY(),"MMYYYY")</f>
        <v>OW-0001-06YYYY</v>
      </c>
      <c r="E12" s="2" t="s">
        <v>3</v>
      </c>
      <c r="F12" s="4">
        <f ca="1">TODAY()</f>
        <v>46203</v>
      </c>
      <c r="G12" s="5" t="s">
        <v>4</v>
      </c>
      <c r="H12" s="6">
        <f ca="1">TODAY()+'⚙️ Paramètres'!C13</f>
        <v>46233</v>
      </c>
    </row>
    <row r="13" spans="2:9" ht="6" customHeight="1" x14ac:dyDescent="0.25"/>
    <row r="14" spans="2:9" ht="20.100000000000001" customHeight="1" x14ac:dyDescent="0.25">
      <c r="B14" s="79" t="s">
        <v>5</v>
      </c>
      <c r="C14" s="74"/>
      <c r="D14" s="74"/>
      <c r="E14" s="74"/>
      <c r="F14" s="82" t="s">
        <v>6</v>
      </c>
      <c r="G14" s="74"/>
      <c r="H14" s="74"/>
      <c r="I14" s="74"/>
    </row>
    <row r="15" spans="2:9" ht="18" customHeight="1" x14ac:dyDescent="0.25">
      <c r="B15" s="2" t="s">
        <v>7</v>
      </c>
      <c r="C15" s="73" t="s">
        <v>8</v>
      </c>
      <c r="D15" s="74"/>
      <c r="E15" s="74"/>
      <c r="F15" s="2" t="s">
        <v>9</v>
      </c>
      <c r="G15" s="73" t="s">
        <v>10</v>
      </c>
      <c r="H15" s="74"/>
      <c r="I15" s="74"/>
    </row>
    <row r="16" spans="2:9" ht="18" customHeight="1" x14ac:dyDescent="0.25">
      <c r="B16" s="2" t="s">
        <v>11</v>
      </c>
      <c r="C16" s="73" t="s">
        <v>12</v>
      </c>
      <c r="D16" s="74"/>
      <c r="E16" s="74"/>
      <c r="F16" s="2" t="s">
        <v>11</v>
      </c>
      <c r="G16" s="73" t="s">
        <v>13</v>
      </c>
      <c r="H16" s="74"/>
      <c r="I16" s="74"/>
    </row>
    <row r="17" spans="2:9" ht="18" customHeight="1" x14ac:dyDescent="0.25">
      <c r="B17" s="2" t="s">
        <v>14</v>
      </c>
      <c r="C17" s="73" t="s">
        <v>15</v>
      </c>
      <c r="D17" s="74"/>
      <c r="E17" s="74"/>
      <c r="F17" s="2" t="s">
        <v>16</v>
      </c>
      <c r="G17" s="73" t="s">
        <v>17</v>
      </c>
      <c r="H17" s="74"/>
      <c r="I17" s="74"/>
    </row>
    <row r="18" spans="2:9" ht="18" customHeight="1" x14ac:dyDescent="0.25">
      <c r="B18" s="2" t="s">
        <v>16</v>
      </c>
      <c r="C18" s="73" t="s">
        <v>17</v>
      </c>
      <c r="D18" s="74"/>
      <c r="E18" s="74"/>
      <c r="F18" s="2" t="s">
        <v>18</v>
      </c>
      <c r="G18" s="73" t="s">
        <v>19</v>
      </c>
      <c r="H18" s="74"/>
      <c r="I18" s="74"/>
    </row>
    <row r="19" spans="2:9" ht="18" customHeight="1" x14ac:dyDescent="0.25">
      <c r="B19" s="2" t="s">
        <v>18</v>
      </c>
      <c r="C19" s="73" t="s">
        <v>20</v>
      </c>
      <c r="D19" s="74"/>
      <c r="E19" s="74"/>
      <c r="F19" s="2" t="s">
        <v>21</v>
      </c>
      <c r="G19" s="73" t="s">
        <v>22</v>
      </c>
      <c r="H19" s="74"/>
      <c r="I19" s="74"/>
    </row>
    <row r="20" spans="2:9" ht="18" customHeight="1" x14ac:dyDescent="0.25">
      <c r="B20" s="2" t="s">
        <v>23</v>
      </c>
      <c r="C20" s="73" t="s">
        <v>24</v>
      </c>
      <c r="D20" s="74"/>
      <c r="E20" s="74"/>
      <c r="F20" s="2" t="s">
        <v>25</v>
      </c>
      <c r="G20" s="73" t="s">
        <v>26</v>
      </c>
      <c r="H20" s="74"/>
      <c r="I20" s="74"/>
    </row>
    <row r="21" spans="2:9" ht="6" customHeight="1" x14ac:dyDescent="0.25"/>
    <row r="22" spans="2:9" ht="21.95" customHeight="1" x14ac:dyDescent="0.25">
      <c r="B22" s="80" t="s">
        <v>27</v>
      </c>
      <c r="C22" s="74"/>
      <c r="D22" s="74"/>
      <c r="E22" s="74"/>
      <c r="F22" s="74"/>
      <c r="G22" s="74"/>
      <c r="H22" s="74"/>
      <c r="I22" s="74"/>
    </row>
    <row r="23" spans="2:9" ht="18" customHeight="1" x14ac:dyDescent="0.25">
      <c r="B23" s="2" t="s">
        <v>28</v>
      </c>
      <c r="C23" s="73" t="s">
        <v>15</v>
      </c>
      <c r="D23" s="74"/>
      <c r="E23" s="74"/>
      <c r="F23" s="2" t="s">
        <v>29</v>
      </c>
      <c r="G23" s="73" t="s">
        <v>30</v>
      </c>
      <c r="H23" s="74"/>
      <c r="I23" s="74"/>
    </row>
    <row r="24" spans="2:9" ht="18" customHeight="1" x14ac:dyDescent="0.25">
      <c r="B24" s="2" t="s">
        <v>31</v>
      </c>
      <c r="C24" s="73">
        <v>357</v>
      </c>
      <c r="D24" s="74"/>
      <c r="E24" s="74"/>
      <c r="F24" s="2" t="s">
        <v>32</v>
      </c>
      <c r="G24" s="73" t="s">
        <v>33</v>
      </c>
      <c r="H24" s="74"/>
      <c r="I24" s="74"/>
    </row>
    <row r="25" spans="2:9" ht="18" customHeight="1" x14ac:dyDescent="0.25">
      <c r="B25" s="2" t="s">
        <v>34</v>
      </c>
      <c r="C25" s="73" t="s">
        <v>35</v>
      </c>
      <c r="D25" s="74"/>
      <c r="E25" s="74"/>
      <c r="F25" s="2" t="s">
        <v>36</v>
      </c>
      <c r="G25" s="73" t="s">
        <v>37</v>
      </c>
      <c r="H25" s="74"/>
      <c r="I25" s="74"/>
    </row>
    <row r="26" spans="2:9" ht="18" customHeight="1" x14ac:dyDescent="0.25">
      <c r="B26" s="2" t="s">
        <v>38</v>
      </c>
      <c r="C26" s="73" t="s">
        <v>39</v>
      </c>
      <c r="D26" s="74"/>
      <c r="E26" s="74"/>
      <c r="F26" s="2" t="s">
        <v>40</v>
      </c>
      <c r="G26" s="73" t="s">
        <v>41</v>
      </c>
      <c r="H26" s="74"/>
      <c r="I26" s="74"/>
    </row>
    <row r="27" spans="2:9" ht="18" customHeight="1" x14ac:dyDescent="0.25">
      <c r="B27" s="2" t="s">
        <v>42</v>
      </c>
      <c r="C27" s="73" t="s">
        <v>43</v>
      </c>
      <c r="D27" s="74"/>
      <c r="E27" s="74"/>
      <c r="F27" s="2" t="s">
        <v>44</v>
      </c>
      <c r="G27" s="73" t="s">
        <v>39</v>
      </c>
      <c r="H27" s="74"/>
      <c r="I27" s="74"/>
    </row>
    <row r="28" spans="2:9" ht="6" customHeight="1" x14ac:dyDescent="0.25"/>
    <row r="29" spans="2:9" ht="21.95" customHeight="1" x14ac:dyDescent="0.25">
      <c r="B29" s="80" t="s">
        <v>45</v>
      </c>
      <c r="C29" s="74"/>
      <c r="D29" s="74"/>
      <c r="E29" s="74"/>
      <c r="F29" s="74"/>
      <c r="G29" s="74"/>
      <c r="H29" s="74"/>
      <c r="I29" s="74"/>
    </row>
    <row r="30" spans="2:9" ht="24" customHeight="1" x14ac:dyDescent="0.25">
      <c r="B30" s="7" t="s">
        <v>46</v>
      </c>
      <c r="C30" s="88" t="s">
        <v>47</v>
      </c>
      <c r="D30" s="72"/>
      <c r="E30" s="7" t="s">
        <v>48</v>
      </c>
      <c r="F30" s="7" t="s">
        <v>49</v>
      </c>
      <c r="G30" s="7" t="s">
        <v>50</v>
      </c>
      <c r="H30" s="7" t="s">
        <v>51</v>
      </c>
      <c r="I30" s="7" t="s">
        <v>52</v>
      </c>
    </row>
    <row r="31" spans="2:9" ht="18.95" customHeight="1" x14ac:dyDescent="0.25">
      <c r="B31" s="8">
        <v>1</v>
      </c>
      <c r="C31" s="71" t="s">
        <v>53</v>
      </c>
      <c r="D31" s="72"/>
      <c r="E31" s="10" t="s">
        <v>54</v>
      </c>
      <c r="F31" s="11">
        <v>357</v>
      </c>
      <c r="G31" s="10" t="s">
        <v>55</v>
      </c>
      <c r="H31" s="12">
        <v>2800</v>
      </c>
      <c r="I31" s="13">
        <f t="shared" ref="I31:I48" si="0">F31*H31</f>
        <v>999600</v>
      </c>
    </row>
    <row r="32" spans="2:9" ht="18.95" customHeight="1" x14ac:dyDescent="0.25">
      <c r="B32" s="14">
        <f>B31+1</f>
        <v>2</v>
      </c>
      <c r="C32" s="86" t="s">
        <v>342</v>
      </c>
      <c r="D32" s="72"/>
      <c r="E32" s="16" t="s">
        <v>56</v>
      </c>
      <c r="F32" s="17">
        <v>89</v>
      </c>
      <c r="G32" s="16" t="s">
        <v>57</v>
      </c>
      <c r="H32" s="18">
        <f>'⚙️ Paramètres'!C18</f>
        <v>4900</v>
      </c>
      <c r="I32" s="19">
        <f t="shared" si="0"/>
        <v>436100</v>
      </c>
    </row>
    <row r="33" spans="2:9" ht="18.95" customHeight="1" x14ac:dyDescent="0.25">
      <c r="B33" s="14">
        <f>B32+1</f>
        <v>3</v>
      </c>
      <c r="C33" s="86" t="s">
        <v>58</v>
      </c>
      <c r="D33" s="72"/>
      <c r="E33" s="16" t="s">
        <v>33</v>
      </c>
      <c r="F33" s="17">
        <v>1</v>
      </c>
      <c r="G33" s="16" t="s">
        <v>59</v>
      </c>
      <c r="H33" s="18">
        <f>ROUND((I31+I32)*'⚙️ Paramètres'!C15,0)</f>
        <v>1004990</v>
      </c>
      <c r="I33" s="19">
        <f t="shared" si="0"/>
        <v>1004990</v>
      </c>
    </row>
    <row r="34" spans="2:9" ht="18.95" customHeight="1" x14ac:dyDescent="0.25">
      <c r="B34" s="14">
        <f t="shared" ref="B34:B46" si="1">B33+1</f>
        <v>4</v>
      </c>
      <c r="C34" s="76" t="s">
        <v>60</v>
      </c>
      <c r="D34" s="72"/>
      <c r="E34" s="22" t="s">
        <v>54</v>
      </c>
      <c r="F34" s="23">
        <v>1</v>
      </c>
      <c r="G34" s="22" t="s">
        <v>59</v>
      </c>
      <c r="H34" s="24">
        <v>100000</v>
      </c>
      <c r="I34" s="25">
        <f t="shared" si="0"/>
        <v>100000</v>
      </c>
    </row>
    <row r="35" spans="2:9" ht="18.95" customHeight="1" x14ac:dyDescent="0.25">
      <c r="B35" s="14">
        <f t="shared" si="1"/>
        <v>5</v>
      </c>
      <c r="C35" s="71" t="s">
        <v>61</v>
      </c>
      <c r="D35" s="72"/>
      <c r="E35" s="10" t="s">
        <v>62</v>
      </c>
      <c r="F35" s="11">
        <v>0</v>
      </c>
      <c r="G35" s="10" t="s">
        <v>59</v>
      </c>
      <c r="H35" s="12">
        <v>0</v>
      </c>
      <c r="I35" s="13">
        <f t="shared" si="0"/>
        <v>0</v>
      </c>
    </row>
    <row r="36" spans="2:9" ht="18.95" customHeight="1" x14ac:dyDescent="0.25">
      <c r="B36" s="14">
        <f t="shared" si="1"/>
        <v>6</v>
      </c>
      <c r="C36" s="76" t="s">
        <v>63</v>
      </c>
      <c r="D36" s="72"/>
      <c r="E36" s="22" t="s">
        <v>64</v>
      </c>
      <c r="F36" s="23">
        <v>1</v>
      </c>
      <c r="G36" s="22" t="s">
        <v>59</v>
      </c>
      <c r="H36" s="24">
        <v>15000</v>
      </c>
      <c r="I36" s="25">
        <f t="shared" si="0"/>
        <v>15000</v>
      </c>
    </row>
    <row r="37" spans="2:9" ht="18.95" customHeight="1" x14ac:dyDescent="0.25">
      <c r="B37" s="14">
        <f t="shared" si="1"/>
        <v>7</v>
      </c>
      <c r="C37" s="71" t="s">
        <v>65</v>
      </c>
      <c r="D37" s="72"/>
      <c r="E37" s="10" t="s">
        <v>64</v>
      </c>
      <c r="F37" s="11">
        <v>1</v>
      </c>
      <c r="G37" s="10" t="s">
        <v>59</v>
      </c>
      <c r="H37" s="12">
        <v>15000</v>
      </c>
      <c r="I37" s="13">
        <f t="shared" si="0"/>
        <v>15000</v>
      </c>
    </row>
    <row r="38" spans="2:9" ht="18.95" customHeight="1" x14ac:dyDescent="0.25">
      <c r="B38" s="14">
        <f t="shared" si="1"/>
        <v>8</v>
      </c>
      <c r="C38" s="76" t="s">
        <v>66</v>
      </c>
      <c r="D38" s="72"/>
      <c r="E38" s="22" t="s">
        <v>67</v>
      </c>
      <c r="F38" s="23">
        <v>1</v>
      </c>
      <c r="G38" s="22" t="s">
        <v>59</v>
      </c>
      <c r="H38" s="24">
        <v>25000</v>
      </c>
      <c r="I38" s="25">
        <f t="shared" si="0"/>
        <v>25000</v>
      </c>
    </row>
    <row r="39" spans="2:9" ht="18.95" customHeight="1" x14ac:dyDescent="0.25">
      <c r="B39" s="14">
        <f t="shared" si="1"/>
        <v>9</v>
      </c>
      <c r="C39" s="76" t="s">
        <v>68</v>
      </c>
      <c r="D39" s="72"/>
      <c r="E39" s="22" t="s">
        <v>69</v>
      </c>
      <c r="F39" s="23">
        <v>0</v>
      </c>
      <c r="G39" s="22" t="s">
        <v>70</v>
      </c>
      <c r="H39" s="24">
        <v>0</v>
      </c>
      <c r="I39" s="25">
        <f t="shared" si="0"/>
        <v>0</v>
      </c>
    </row>
    <row r="40" spans="2:9" ht="18.95" customHeight="1" x14ac:dyDescent="0.25">
      <c r="B40" s="14">
        <f t="shared" si="1"/>
        <v>10</v>
      </c>
      <c r="C40" s="76" t="s">
        <v>73</v>
      </c>
      <c r="D40" s="72"/>
      <c r="E40" s="22" t="s">
        <v>67</v>
      </c>
      <c r="F40" s="23">
        <v>0</v>
      </c>
      <c r="G40" s="22" t="s">
        <v>74</v>
      </c>
      <c r="H40" s="24">
        <v>30000</v>
      </c>
      <c r="I40" s="25">
        <f t="shared" si="0"/>
        <v>0</v>
      </c>
    </row>
    <row r="41" spans="2:9" ht="18.95" customHeight="1" x14ac:dyDescent="0.25">
      <c r="B41" s="14">
        <f t="shared" si="1"/>
        <v>11</v>
      </c>
      <c r="C41" s="76" t="s">
        <v>75</v>
      </c>
      <c r="D41" s="72"/>
      <c r="E41" s="22" t="s">
        <v>62</v>
      </c>
      <c r="F41" s="23">
        <v>0</v>
      </c>
      <c r="G41" s="22" t="s">
        <v>76</v>
      </c>
      <c r="H41" s="24">
        <v>60000</v>
      </c>
      <c r="I41" s="25">
        <f t="shared" si="0"/>
        <v>0</v>
      </c>
    </row>
    <row r="42" spans="2:9" ht="18.95" customHeight="1" x14ac:dyDescent="0.25">
      <c r="B42" s="14">
        <f t="shared" si="1"/>
        <v>12</v>
      </c>
      <c r="C42" s="71" t="s">
        <v>77</v>
      </c>
      <c r="D42" s="72"/>
      <c r="E42" s="10" t="s">
        <v>71</v>
      </c>
      <c r="F42" s="11">
        <v>0</v>
      </c>
      <c r="G42" s="10" t="s">
        <v>72</v>
      </c>
      <c r="H42" s="12">
        <v>15000</v>
      </c>
      <c r="I42" s="13">
        <f t="shared" si="0"/>
        <v>0</v>
      </c>
    </row>
    <row r="43" spans="2:9" ht="18.95" customHeight="1" x14ac:dyDescent="0.25">
      <c r="B43" s="14">
        <f t="shared" si="1"/>
        <v>13</v>
      </c>
      <c r="C43" s="71" t="s">
        <v>78</v>
      </c>
      <c r="D43" s="72"/>
      <c r="E43" s="10" t="s">
        <v>71</v>
      </c>
      <c r="F43" s="11">
        <v>0</v>
      </c>
      <c r="G43" s="10" t="s">
        <v>59</v>
      </c>
      <c r="H43" s="12">
        <v>25000</v>
      </c>
      <c r="I43" s="13">
        <f t="shared" si="0"/>
        <v>0</v>
      </c>
    </row>
    <row r="44" spans="2:9" ht="16.5" customHeight="1" x14ac:dyDescent="0.25">
      <c r="B44" s="14">
        <f t="shared" si="1"/>
        <v>14</v>
      </c>
      <c r="C44" s="76" t="s">
        <v>79</v>
      </c>
      <c r="D44" s="72"/>
      <c r="E44" s="22" t="s">
        <v>80</v>
      </c>
      <c r="F44" s="23">
        <v>0</v>
      </c>
      <c r="G44" s="22" t="s">
        <v>59</v>
      </c>
      <c r="H44" s="24">
        <v>20000</v>
      </c>
      <c r="I44" s="25">
        <f t="shared" si="0"/>
        <v>0</v>
      </c>
    </row>
    <row r="45" spans="2:9" ht="16.5" customHeight="1" x14ac:dyDescent="0.25">
      <c r="B45" s="14">
        <f t="shared" si="1"/>
        <v>15</v>
      </c>
      <c r="C45" s="71" t="s">
        <v>81</v>
      </c>
      <c r="D45" s="72"/>
      <c r="E45" s="10" t="s">
        <v>82</v>
      </c>
      <c r="F45" s="11">
        <v>0</v>
      </c>
      <c r="G45" s="10" t="s">
        <v>76</v>
      </c>
      <c r="H45" s="12">
        <v>20000</v>
      </c>
      <c r="I45" s="13">
        <f t="shared" si="0"/>
        <v>0</v>
      </c>
    </row>
    <row r="46" spans="2:9" ht="18.95" customHeight="1" x14ac:dyDescent="0.25">
      <c r="B46" s="14">
        <f t="shared" si="1"/>
        <v>16</v>
      </c>
      <c r="C46" s="76" t="s">
        <v>83</v>
      </c>
      <c r="D46" s="72"/>
      <c r="E46" s="22" t="s">
        <v>64</v>
      </c>
      <c r="F46" s="23">
        <v>0</v>
      </c>
      <c r="G46" s="22" t="s">
        <v>76</v>
      </c>
      <c r="H46" s="24">
        <v>50000</v>
      </c>
      <c r="I46" s="25">
        <f t="shared" si="0"/>
        <v>0</v>
      </c>
    </row>
    <row r="47" spans="2:9" ht="18.95" customHeight="1" x14ac:dyDescent="0.25">
      <c r="B47" s="14">
        <f>B46+1</f>
        <v>17</v>
      </c>
      <c r="C47" s="76" t="s">
        <v>84</v>
      </c>
      <c r="D47" s="72"/>
      <c r="E47" s="22" t="s">
        <v>85</v>
      </c>
      <c r="F47" s="23">
        <v>0</v>
      </c>
      <c r="G47" s="22" t="s">
        <v>59</v>
      </c>
      <c r="H47" s="24">
        <v>20000</v>
      </c>
      <c r="I47" s="25">
        <f t="shared" si="0"/>
        <v>0</v>
      </c>
    </row>
    <row r="48" spans="2:9" ht="18.95" customHeight="1" x14ac:dyDescent="0.25">
      <c r="B48" s="14">
        <f>B47+1</f>
        <v>18</v>
      </c>
      <c r="C48" s="71" t="s">
        <v>86</v>
      </c>
      <c r="D48" s="72"/>
      <c r="E48" s="10" t="s">
        <v>62</v>
      </c>
      <c r="F48" s="11">
        <v>0</v>
      </c>
      <c r="G48" s="10" t="s">
        <v>59</v>
      </c>
      <c r="H48" s="12">
        <v>200000</v>
      </c>
      <c r="I48" s="13">
        <f t="shared" si="0"/>
        <v>0</v>
      </c>
    </row>
    <row r="49" spans="2:9" ht="20.100000000000001" customHeight="1" x14ac:dyDescent="0.25">
      <c r="B49" s="91" t="s">
        <v>87</v>
      </c>
      <c r="C49" s="74"/>
      <c r="D49" s="74"/>
      <c r="E49" s="74"/>
      <c r="F49" s="74"/>
      <c r="G49" s="75">
        <f>SUM(I31:I48)</f>
        <v>2595690</v>
      </c>
      <c r="H49" s="74"/>
      <c r="I49" s="74"/>
    </row>
    <row r="50" spans="2:9" ht="20.100000000000001" customHeight="1" x14ac:dyDescent="0.25">
      <c r="B50" s="83" t="s">
        <v>88</v>
      </c>
      <c r="C50" s="74"/>
      <c r="D50" s="74"/>
      <c r="E50" s="74"/>
      <c r="F50" s="26">
        <v>0</v>
      </c>
      <c r="G50" s="84">
        <f>-ROUND(G49*F50/100,0)</f>
        <v>0</v>
      </c>
      <c r="H50" s="74"/>
      <c r="I50" s="74"/>
    </row>
    <row r="51" spans="2:9" ht="20.100000000000001" customHeight="1" x14ac:dyDescent="0.25">
      <c r="B51" s="91" t="s">
        <v>89</v>
      </c>
      <c r="C51" s="74"/>
      <c r="D51" s="74"/>
      <c r="E51" s="74"/>
      <c r="F51" s="74"/>
      <c r="G51" s="75">
        <f>G49+G50</f>
        <v>2595690</v>
      </c>
      <c r="H51" s="74"/>
      <c r="I51" s="74"/>
    </row>
    <row r="52" spans="2:9" ht="20.100000000000001" customHeight="1" x14ac:dyDescent="0.25">
      <c r="B52" s="83" t="s">
        <v>90</v>
      </c>
      <c r="C52" s="74"/>
      <c r="D52" s="74"/>
      <c r="E52" s="74"/>
      <c r="F52" s="27" t="s">
        <v>91</v>
      </c>
      <c r="G52" s="87">
        <f>IF(F52="Oui",ROUND(G51*0.2,0),0)</f>
        <v>0</v>
      </c>
      <c r="H52" s="74"/>
      <c r="I52" s="74"/>
    </row>
    <row r="53" spans="2:9" ht="24" customHeight="1" x14ac:dyDescent="0.25">
      <c r="B53" s="92" t="s">
        <v>92</v>
      </c>
      <c r="C53" s="74"/>
      <c r="D53" s="74"/>
      <c r="E53" s="74"/>
      <c r="F53" s="74"/>
      <c r="G53" s="93">
        <f>G51+G52</f>
        <v>2595690</v>
      </c>
      <c r="H53" s="74"/>
      <c r="I53" s="74"/>
    </row>
    <row r="55" spans="2:9" ht="21.95" customHeight="1" x14ac:dyDescent="0.25">
      <c r="B55" s="80" t="s">
        <v>93</v>
      </c>
      <c r="C55" s="74"/>
      <c r="D55" s="74"/>
      <c r="E55" s="74"/>
      <c r="F55" s="74"/>
      <c r="G55" s="74"/>
      <c r="H55" s="74"/>
      <c r="I55" s="74"/>
    </row>
    <row r="56" spans="2:9" ht="18" customHeight="1" x14ac:dyDescent="0.25">
      <c r="B56" s="2" t="s">
        <v>94</v>
      </c>
      <c r="C56" s="81" t="s">
        <v>95</v>
      </c>
      <c r="D56" s="74"/>
      <c r="E56" s="74"/>
      <c r="F56" s="74"/>
      <c r="G56" s="74"/>
      <c r="H56" s="74"/>
      <c r="I56" s="74"/>
    </row>
    <row r="57" spans="2:9" ht="18" customHeight="1" x14ac:dyDescent="0.25">
      <c r="B57" s="2" t="s">
        <v>96</v>
      </c>
      <c r="C57" s="81" t="s">
        <v>97</v>
      </c>
      <c r="D57" s="74"/>
      <c r="E57" s="74"/>
      <c r="F57" s="74"/>
      <c r="G57" s="74"/>
      <c r="H57" s="74"/>
      <c r="I57" s="74"/>
    </row>
    <row r="58" spans="2:9" ht="18" customHeight="1" x14ac:dyDescent="0.25">
      <c r="B58" s="2" t="s">
        <v>98</v>
      </c>
      <c r="C58" s="81" t="s">
        <v>22</v>
      </c>
      <c r="D58" s="74"/>
      <c r="E58" s="74"/>
      <c r="F58" s="74"/>
      <c r="G58" s="74"/>
      <c r="H58" s="74"/>
      <c r="I58" s="74"/>
    </row>
    <row r="59" spans="2:9" ht="18" customHeight="1" x14ac:dyDescent="0.25">
      <c r="B59" s="2" t="s">
        <v>99</v>
      </c>
      <c r="C59" s="81" t="s">
        <v>100</v>
      </c>
      <c r="D59" s="74"/>
      <c r="E59" s="74"/>
      <c r="F59" s="74"/>
      <c r="G59" s="74"/>
      <c r="H59" s="74"/>
      <c r="I59" s="74"/>
    </row>
    <row r="60" spans="2:9" ht="18" customHeight="1" x14ac:dyDescent="0.25">
      <c r="B60" s="2" t="s">
        <v>101</v>
      </c>
      <c r="C60" s="81" t="s">
        <v>102</v>
      </c>
      <c r="D60" s="74"/>
      <c r="E60" s="74"/>
      <c r="F60" s="74"/>
      <c r="G60" s="74"/>
      <c r="H60" s="74"/>
      <c r="I60" s="74"/>
    </row>
    <row r="62" spans="2:9" ht="21.95" customHeight="1" x14ac:dyDescent="0.25">
      <c r="B62" s="80" t="s">
        <v>103</v>
      </c>
      <c r="C62" s="74"/>
      <c r="D62" s="74"/>
      <c r="E62" s="74"/>
      <c r="F62" s="74"/>
      <c r="G62" s="74"/>
      <c r="H62" s="74"/>
      <c r="I62" s="74"/>
    </row>
    <row r="63" spans="2:9" ht="15.95" customHeight="1" x14ac:dyDescent="0.25">
      <c r="B63" s="78" t="s">
        <v>104</v>
      </c>
      <c r="C63" s="74"/>
      <c r="D63" s="74"/>
      <c r="E63" s="74"/>
      <c r="F63" s="74"/>
      <c r="G63" s="74"/>
      <c r="H63" s="74"/>
      <c r="I63" s="74"/>
    </row>
    <row r="64" spans="2:9" ht="15.95" customHeight="1" x14ac:dyDescent="0.25">
      <c r="B64" s="78" t="s">
        <v>105</v>
      </c>
      <c r="C64" s="74"/>
      <c r="D64" s="74"/>
      <c r="E64" s="74"/>
      <c r="F64" s="74"/>
      <c r="G64" s="74"/>
      <c r="H64" s="74"/>
      <c r="I64" s="74"/>
    </row>
    <row r="65" spans="2:9" ht="15.95" customHeight="1" x14ac:dyDescent="0.25">
      <c r="B65" s="78" t="s">
        <v>106</v>
      </c>
      <c r="C65" s="74"/>
      <c r="D65" s="74"/>
      <c r="E65" s="74"/>
      <c r="F65" s="74"/>
      <c r="G65" s="74"/>
      <c r="H65" s="74"/>
      <c r="I65" s="74"/>
    </row>
    <row r="66" spans="2:9" ht="15.95" customHeight="1" x14ac:dyDescent="0.25">
      <c r="B66" s="78" t="s">
        <v>107</v>
      </c>
      <c r="C66" s="74"/>
      <c r="D66" s="74"/>
      <c r="E66" s="74"/>
      <c r="F66" s="74"/>
      <c r="G66" s="74"/>
      <c r="H66" s="74"/>
      <c r="I66" s="74"/>
    </row>
    <row r="67" spans="2:9" ht="15.95" customHeight="1" x14ac:dyDescent="0.25">
      <c r="B67" s="78" t="s">
        <v>108</v>
      </c>
      <c r="C67" s="74"/>
      <c r="D67" s="74"/>
      <c r="E67" s="74"/>
      <c r="F67" s="74"/>
      <c r="G67" s="74"/>
      <c r="H67" s="74"/>
      <c r="I67" s="74"/>
    </row>
    <row r="68" spans="2:9" ht="15.95" customHeight="1" x14ac:dyDescent="0.25">
      <c r="B68" s="78" t="s">
        <v>109</v>
      </c>
      <c r="C68" s="74"/>
      <c r="D68" s="74"/>
      <c r="E68" s="74"/>
      <c r="F68" s="74"/>
      <c r="G68" s="74"/>
      <c r="H68" s="74"/>
      <c r="I68" s="74"/>
    </row>
    <row r="70" spans="2:9" ht="50.1" customHeight="1" x14ac:dyDescent="0.25">
      <c r="B70" s="77" t="s">
        <v>110</v>
      </c>
      <c r="C70" s="74"/>
      <c r="D70" s="74"/>
      <c r="E70" s="74"/>
      <c r="F70" s="77" t="s">
        <v>111</v>
      </c>
      <c r="G70" s="74"/>
      <c r="H70" s="74"/>
      <c r="I70" s="74"/>
    </row>
    <row r="73" spans="2:9" ht="21.95" customHeight="1" x14ac:dyDescent="0.25">
      <c r="B73" s="85" t="s">
        <v>112</v>
      </c>
      <c r="C73" s="74"/>
      <c r="D73" s="74"/>
      <c r="E73" s="74"/>
      <c r="F73" s="74"/>
      <c r="G73" s="74"/>
      <c r="H73" s="74"/>
      <c r="I73" s="74"/>
    </row>
  </sheetData>
  <mergeCells count="73">
    <mergeCell ref="B66:I66"/>
    <mergeCell ref="B53:F53"/>
    <mergeCell ref="C18:E18"/>
    <mergeCell ref="G26:I26"/>
    <mergeCell ref="C20:E20"/>
    <mergeCell ref="C59:I59"/>
    <mergeCell ref="B29:I29"/>
    <mergeCell ref="C45:D45"/>
    <mergeCell ref="C39:D39"/>
    <mergeCell ref="G53:I53"/>
    <mergeCell ref="C38:D38"/>
    <mergeCell ref="E4:I5"/>
    <mergeCell ref="C42:D42"/>
    <mergeCell ref="B55:I55"/>
    <mergeCell ref="G23:I23"/>
    <mergeCell ref="C47:D47"/>
    <mergeCell ref="E6:I7"/>
    <mergeCell ref="C43:D43"/>
    <mergeCell ref="B51:F51"/>
    <mergeCell ref="C15:E15"/>
    <mergeCell ref="C33:D33"/>
    <mergeCell ref="G24:I24"/>
    <mergeCell ref="B49:F49"/>
    <mergeCell ref="C44:D44"/>
    <mergeCell ref="C34:D34"/>
    <mergeCell ref="B73:I73"/>
    <mergeCell ref="C16:E16"/>
    <mergeCell ref="C25:E25"/>
    <mergeCell ref="C27:E27"/>
    <mergeCell ref="G18:I18"/>
    <mergeCell ref="C46:D46"/>
    <mergeCell ref="B70:E70"/>
    <mergeCell ref="C17:E17"/>
    <mergeCell ref="C35:D35"/>
    <mergeCell ref="G52:I52"/>
    <mergeCell ref="C56:I56"/>
    <mergeCell ref="G20:I20"/>
    <mergeCell ref="C30:D30"/>
    <mergeCell ref="B63:I63"/>
    <mergeCell ref="B14:E14"/>
    <mergeCell ref="B62:I62"/>
    <mergeCell ref="C26:E26"/>
    <mergeCell ref="C57:I57"/>
    <mergeCell ref="F14:I14"/>
    <mergeCell ref="C31:D31"/>
    <mergeCell ref="C23:E23"/>
    <mergeCell ref="B50:E50"/>
    <mergeCell ref="B22:I22"/>
    <mergeCell ref="G15:I15"/>
    <mergeCell ref="G50:I50"/>
    <mergeCell ref="B52:E52"/>
    <mergeCell ref="F70:I70"/>
    <mergeCell ref="C41:D41"/>
    <mergeCell ref="G17:I17"/>
    <mergeCell ref="B68:I68"/>
    <mergeCell ref="C19:E19"/>
    <mergeCell ref="C37:D37"/>
    <mergeCell ref="B64:I64"/>
    <mergeCell ref="C32:D32"/>
    <mergeCell ref="C60:I60"/>
    <mergeCell ref="B65:I65"/>
    <mergeCell ref="B67:I67"/>
    <mergeCell ref="G19:I19"/>
    <mergeCell ref="C58:I58"/>
    <mergeCell ref="C48:D48"/>
    <mergeCell ref="G16:I16"/>
    <mergeCell ref="G25:I25"/>
    <mergeCell ref="G51:I51"/>
    <mergeCell ref="C24:E24"/>
    <mergeCell ref="C40:D40"/>
    <mergeCell ref="G27:I27"/>
    <mergeCell ref="G49:I49"/>
    <mergeCell ref="C36:D36"/>
  </mergeCells>
  <dataValidations count="1">
    <dataValidation type="list" allowBlank="1" sqref="F52">
      <formula1>"Oui,Non"</formula1>
    </dataValidation>
  </dataValidations>
  <pageMargins left="0.75" right="0.75" top="1" bottom="1" header="0.5" footer="0.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4A72"/>
    <pageSetUpPr fitToPage="1"/>
  </sheetPr>
  <dimension ref="B2:H62"/>
  <sheetViews>
    <sheetView showGridLines="0" topLeftCell="A4" workbookViewId="0">
      <selection activeCell="F23" sqref="F23"/>
    </sheetView>
  </sheetViews>
  <sheetFormatPr baseColWidth="10" defaultColWidth="9.140625" defaultRowHeight="15" x14ac:dyDescent="0.25"/>
  <cols>
    <col min="1" max="1" width="3" customWidth="1"/>
    <col min="2" max="2" width="30" customWidth="1"/>
    <col min="3" max="3" width="16" customWidth="1"/>
    <col min="4" max="4" width="17" customWidth="1"/>
    <col min="5" max="5" width="14" customWidth="1"/>
    <col min="6" max="6" width="16" customWidth="1"/>
    <col min="7" max="7" width="15" customWidth="1"/>
    <col min="8" max="8" width="13" customWidth="1"/>
    <col min="9" max="9" width="3" customWidth="1"/>
  </cols>
  <sheetData>
    <row r="2" spans="2:8" x14ac:dyDescent="0.25">
      <c r="B2" s="99" t="s">
        <v>113</v>
      </c>
      <c r="C2" s="74"/>
      <c r="D2" s="74"/>
      <c r="E2" s="74"/>
      <c r="F2" s="74"/>
      <c r="G2" s="74"/>
      <c r="H2" s="74"/>
    </row>
    <row r="3" spans="2:8" x14ac:dyDescent="0.25">
      <c r="B3" s="74"/>
      <c r="C3" s="74"/>
      <c r="D3" s="74"/>
      <c r="E3" s="74"/>
      <c r="F3" s="74"/>
      <c r="G3" s="74"/>
      <c r="H3" s="74"/>
    </row>
    <row r="4" spans="2:8" x14ac:dyDescent="0.25">
      <c r="B4" s="74"/>
      <c r="C4" s="74"/>
      <c r="D4" s="74"/>
      <c r="E4" s="74"/>
      <c r="F4" s="74"/>
      <c r="G4" s="74"/>
      <c r="H4" s="74"/>
    </row>
    <row r="5" spans="2:8" x14ac:dyDescent="0.25">
      <c r="B5" s="74"/>
      <c r="C5" s="74"/>
      <c r="D5" s="74"/>
      <c r="E5" s="74"/>
      <c r="F5" s="74"/>
      <c r="G5" s="74"/>
      <c r="H5" s="74"/>
    </row>
    <row r="6" spans="2:8" ht="8.1" customHeight="1" x14ac:dyDescent="0.25"/>
    <row r="8" spans="2:8" ht="21.95" customHeight="1" x14ac:dyDescent="0.25">
      <c r="B8" s="80" t="s">
        <v>114</v>
      </c>
      <c r="C8" s="74"/>
      <c r="D8" s="74"/>
      <c r="E8" s="74"/>
      <c r="F8" s="74"/>
      <c r="G8" s="74"/>
      <c r="H8" s="74"/>
    </row>
    <row r="9" spans="2:8" ht="20.100000000000001" customHeight="1" x14ac:dyDescent="0.25">
      <c r="B9" s="29" t="s">
        <v>115</v>
      </c>
      <c r="C9" s="30">
        <v>1</v>
      </c>
      <c r="D9" s="31" t="s">
        <v>46</v>
      </c>
      <c r="E9" s="101" t="s">
        <v>116</v>
      </c>
      <c r="F9" s="74"/>
      <c r="G9" s="74"/>
      <c r="H9" s="74"/>
    </row>
    <row r="10" spans="2:8" ht="20.100000000000001" customHeight="1" x14ac:dyDescent="0.25">
      <c r="B10" s="29" t="s">
        <v>117</v>
      </c>
      <c r="C10" s="30">
        <v>0</v>
      </c>
      <c r="D10" s="31" t="s">
        <v>118</v>
      </c>
      <c r="E10" s="101" t="s">
        <v>119</v>
      </c>
      <c r="F10" s="74"/>
      <c r="G10" s="74"/>
      <c r="H10" s="74"/>
    </row>
    <row r="11" spans="2:8" ht="20.100000000000001" customHeight="1" x14ac:dyDescent="0.25">
      <c r="B11" s="29" t="s">
        <v>120</v>
      </c>
      <c r="C11" s="30" t="s">
        <v>91</v>
      </c>
      <c r="D11" s="31"/>
      <c r="E11" s="101" t="s">
        <v>121</v>
      </c>
      <c r="F11" s="74"/>
      <c r="G11" s="74"/>
      <c r="H11" s="74"/>
    </row>
    <row r="12" spans="2:8" ht="20.100000000000001" customHeight="1" x14ac:dyDescent="0.25">
      <c r="B12" s="29" t="s">
        <v>122</v>
      </c>
      <c r="C12" s="30" t="s">
        <v>123</v>
      </c>
      <c r="D12" s="31"/>
      <c r="E12" s="101" t="s">
        <v>124</v>
      </c>
      <c r="F12" s="74"/>
      <c r="G12" s="74"/>
      <c r="H12" s="74"/>
    </row>
    <row r="13" spans="2:8" ht="20.100000000000001" customHeight="1" x14ac:dyDescent="0.25">
      <c r="B13" s="29" t="s">
        <v>125</v>
      </c>
      <c r="C13" s="30">
        <v>30</v>
      </c>
      <c r="D13" s="31" t="s">
        <v>126</v>
      </c>
      <c r="E13" s="101" t="s">
        <v>127</v>
      </c>
      <c r="F13" s="74"/>
      <c r="G13" s="74"/>
      <c r="H13" s="74"/>
    </row>
    <row r="14" spans="2:8" ht="20.100000000000001" customHeight="1" x14ac:dyDescent="0.25">
      <c r="B14" s="29" t="s">
        <v>128</v>
      </c>
      <c r="C14" s="32" t="s">
        <v>33</v>
      </c>
      <c r="D14" s="31"/>
      <c r="E14" s="101" t="s">
        <v>129</v>
      </c>
      <c r="F14" s="74"/>
      <c r="G14" s="74"/>
      <c r="H14" s="74"/>
    </row>
    <row r="15" spans="2:8" ht="20.100000000000001" customHeight="1" x14ac:dyDescent="0.25">
      <c r="B15" s="29" t="s">
        <v>130</v>
      </c>
      <c r="C15" s="33">
        <v>0.7</v>
      </c>
      <c r="D15" s="31" t="s">
        <v>131</v>
      </c>
      <c r="E15" s="101" t="s">
        <v>132</v>
      </c>
      <c r="F15" s="74"/>
      <c r="G15" s="74"/>
      <c r="H15" s="74"/>
    </row>
    <row r="16" spans="2:8" ht="8.1" customHeight="1" x14ac:dyDescent="0.25"/>
    <row r="17" spans="2:8" ht="21.95" customHeight="1" x14ac:dyDescent="0.25">
      <c r="B17" s="80" t="s">
        <v>133</v>
      </c>
      <c r="C17" s="74"/>
      <c r="D17" s="74"/>
      <c r="E17" s="74"/>
      <c r="F17" s="74"/>
      <c r="G17" s="74"/>
      <c r="H17" s="74"/>
    </row>
    <row r="18" spans="2:8" ht="20.100000000000001" customHeight="1" x14ac:dyDescent="0.25">
      <c r="B18" s="34" t="s">
        <v>134</v>
      </c>
      <c r="C18" s="35">
        <v>4900</v>
      </c>
      <c r="D18" s="36" t="s">
        <v>135</v>
      </c>
      <c r="E18" s="100" t="s">
        <v>136</v>
      </c>
      <c r="F18" s="96"/>
      <c r="G18" s="96"/>
      <c r="H18" s="72"/>
    </row>
    <row r="19" spans="2:8" ht="20.100000000000001" customHeight="1" x14ac:dyDescent="0.25">
      <c r="B19" s="34" t="s">
        <v>137</v>
      </c>
      <c r="C19" s="35">
        <v>5100</v>
      </c>
      <c r="D19" s="36" t="s">
        <v>135</v>
      </c>
      <c r="E19" s="100" t="s">
        <v>136</v>
      </c>
      <c r="F19" s="96"/>
      <c r="G19" s="96"/>
      <c r="H19" s="72"/>
    </row>
    <row r="20" spans="2:8" ht="8.1" customHeight="1" x14ac:dyDescent="0.25"/>
    <row r="21" spans="2:8" ht="21.95" customHeight="1" x14ac:dyDescent="0.25">
      <c r="B21" s="80" t="s">
        <v>138</v>
      </c>
      <c r="C21" s="74"/>
      <c r="D21" s="74"/>
      <c r="E21" s="74"/>
      <c r="F21" s="74"/>
      <c r="G21" s="74"/>
      <c r="H21" s="74"/>
    </row>
    <row r="22" spans="2:8" ht="26.1" customHeight="1" x14ac:dyDescent="0.25">
      <c r="B22" s="37" t="s">
        <v>139</v>
      </c>
      <c r="C22" s="38" t="s">
        <v>140</v>
      </c>
      <c r="D22" s="38" t="s">
        <v>141</v>
      </c>
      <c r="E22" s="38" t="s">
        <v>142</v>
      </c>
      <c r="F22" s="38" t="s">
        <v>143</v>
      </c>
      <c r="G22" s="38" t="s">
        <v>144</v>
      </c>
      <c r="H22" s="38" t="s">
        <v>145</v>
      </c>
    </row>
    <row r="23" spans="2:8" ht="18.95" customHeight="1" x14ac:dyDescent="0.25">
      <c r="B23" s="9" t="s">
        <v>146</v>
      </c>
      <c r="C23" s="8" t="s">
        <v>147</v>
      </c>
      <c r="D23" s="39">
        <v>800</v>
      </c>
      <c r="E23" s="40">
        <v>3</v>
      </c>
      <c r="F23" s="41">
        <f>ROUND(E23*$C$19/100,0)</f>
        <v>153</v>
      </c>
      <c r="G23" s="42">
        <v>15000</v>
      </c>
      <c r="H23" s="43">
        <v>0</v>
      </c>
    </row>
    <row r="24" spans="2:8" ht="18.95" customHeight="1" x14ac:dyDescent="0.25">
      <c r="B24" s="21" t="s">
        <v>148</v>
      </c>
      <c r="C24" s="20" t="s">
        <v>149</v>
      </c>
      <c r="D24" s="44">
        <v>1200</v>
      </c>
      <c r="E24" s="45">
        <v>10</v>
      </c>
      <c r="F24" s="46">
        <f t="shared" ref="F24:F32" si="0">ROUND(E24*$C$18/100,0)</f>
        <v>490</v>
      </c>
      <c r="G24" s="47">
        <v>30000</v>
      </c>
      <c r="H24" s="48">
        <v>0.1</v>
      </c>
    </row>
    <row r="25" spans="2:8" ht="18.95" customHeight="1" x14ac:dyDescent="0.25">
      <c r="B25" s="9" t="s">
        <v>150</v>
      </c>
      <c r="C25" s="8" t="s">
        <v>151</v>
      </c>
      <c r="D25" s="39">
        <v>1900</v>
      </c>
      <c r="E25" s="40">
        <v>18</v>
      </c>
      <c r="F25" s="41">
        <f t="shared" si="0"/>
        <v>882</v>
      </c>
      <c r="G25" s="42">
        <v>60000</v>
      </c>
      <c r="H25" s="43">
        <v>0.15</v>
      </c>
    </row>
    <row r="26" spans="2:8" ht="18.95" customHeight="1" x14ac:dyDescent="0.25">
      <c r="B26" s="21" t="s">
        <v>152</v>
      </c>
      <c r="C26" s="20" t="s">
        <v>153</v>
      </c>
      <c r="D26" s="44">
        <v>2800</v>
      </c>
      <c r="E26" s="45">
        <v>25</v>
      </c>
      <c r="F26" s="46">
        <f t="shared" si="0"/>
        <v>1225</v>
      </c>
      <c r="G26" s="47">
        <v>100000</v>
      </c>
      <c r="H26" s="48">
        <v>0.2</v>
      </c>
    </row>
    <row r="27" spans="2:8" ht="18.95" customHeight="1" x14ac:dyDescent="0.25">
      <c r="B27" s="9" t="s">
        <v>154</v>
      </c>
      <c r="C27" s="8" t="s">
        <v>155</v>
      </c>
      <c r="D27" s="39">
        <v>3900</v>
      </c>
      <c r="E27" s="40">
        <v>32</v>
      </c>
      <c r="F27" s="41">
        <f t="shared" si="0"/>
        <v>1568</v>
      </c>
      <c r="G27" s="42">
        <v>180000</v>
      </c>
      <c r="H27" s="43">
        <v>0.25</v>
      </c>
    </row>
    <row r="28" spans="2:8" ht="18.95" customHeight="1" x14ac:dyDescent="0.25">
      <c r="B28" s="21" t="s">
        <v>156</v>
      </c>
      <c r="C28" s="20" t="s">
        <v>157</v>
      </c>
      <c r="D28" s="44">
        <v>5600</v>
      </c>
      <c r="E28" s="45">
        <v>38</v>
      </c>
      <c r="F28" s="46">
        <f t="shared" si="0"/>
        <v>1862</v>
      </c>
      <c r="G28" s="47">
        <v>300000</v>
      </c>
      <c r="H28" s="48">
        <v>0.3</v>
      </c>
    </row>
    <row r="29" spans="2:8" ht="18.95" customHeight="1" x14ac:dyDescent="0.25">
      <c r="B29" s="9" t="s">
        <v>158</v>
      </c>
      <c r="C29" s="8" t="s">
        <v>159</v>
      </c>
      <c r="D29" s="39">
        <v>3800</v>
      </c>
      <c r="E29" s="40">
        <v>28</v>
      </c>
      <c r="F29" s="41">
        <f t="shared" si="0"/>
        <v>1372</v>
      </c>
      <c r="G29" s="42">
        <v>150000</v>
      </c>
      <c r="H29" s="43">
        <v>0.2</v>
      </c>
    </row>
    <row r="30" spans="2:8" ht="18.95" customHeight="1" x14ac:dyDescent="0.25">
      <c r="B30" s="21" t="s">
        <v>160</v>
      </c>
      <c r="C30" s="20" t="s">
        <v>161</v>
      </c>
      <c r="D30" s="44">
        <v>4300</v>
      </c>
      <c r="E30" s="45">
        <v>35</v>
      </c>
      <c r="F30" s="46">
        <f t="shared" si="0"/>
        <v>1715</v>
      </c>
      <c r="G30" s="47">
        <v>200000</v>
      </c>
      <c r="H30" s="48">
        <v>0.25</v>
      </c>
    </row>
    <row r="31" spans="2:8" ht="18.95" customHeight="1" x14ac:dyDescent="0.25">
      <c r="B31" s="9" t="s">
        <v>162</v>
      </c>
      <c r="C31" s="8" t="s">
        <v>163</v>
      </c>
      <c r="D31" s="39">
        <v>4600</v>
      </c>
      <c r="E31" s="40">
        <v>38</v>
      </c>
      <c r="F31" s="41">
        <f t="shared" si="0"/>
        <v>1862</v>
      </c>
      <c r="G31" s="42">
        <v>250000</v>
      </c>
      <c r="H31" s="43">
        <v>0.35</v>
      </c>
    </row>
    <row r="32" spans="2:8" ht="18.95" customHeight="1" x14ac:dyDescent="0.25">
      <c r="B32" s="21" t="s">
        <v>164</v>
      </c>
      <c r="C32" s="20" t="s">
        <v>165</v>
      </c>
      <c r="D32" s="44">
        <v>6300</v>
      </c>
      <c r="E32" s="45">
        <v>45</v>
      </c>
      <c r="F32" s="46">
        <f t="shared" si="0"/>
        <v>2205</v>
      </c>
      <c r="G32" s="47">
        <v>400000</v>
      </c>
      <c r="H32" s="48">
        <v>0.4</v>
      </c>
    </row>
    <row r="33" spans="2:8" ht="8.1" customHeight="1" x14ac:dyDescent="0.25"/>
    <row r="34" spans="2:8" ht="21.95" customHeight="1" x14ac:dyDescent="0.25">
      <c r="B34" s="80" t="s">
        <v>166</v>
      </c>
      <c r="C34" s="74"/>
      <c r="D34" s="74"/>
      <c r="E34" s="74"/>
      <c r="F34" s="74"/>
      <c r="G34" s="74"/>
      <c r="H34" s="74"/>
    </row>
    <row r="35" spans="2:8" ht="26.1" customHeight="1" x14ac:dyDescent="0.25">
      <c r="B35" s="37" t="s">
        <v>167</v>
      </c>
      <c r="C35" s="38" t="s">
        <v>168</v>
      </c>
      <c r="D35" s="38" t="s">
        <v>169</v>
      </c>
      <c r="E35" s="38" t="s">
        <v>170</v>
      </c>
      <c r="F35" s="38" t="s">
        <v>171</v>
      </c>
      <c r="G35" s="103" t="s">
        <v>172</v>
      </c>
      <c r="H35" s="72"/>
    </row>
    <row r="36" spans="2:8" ht="18" customHeight="1" x14ac:dyDescent="0.25">
      <c r="B36" s="9" t="s">
        <v>173</v>
      </c>
      <c r="C36" s="8" t="s">
        <v>174</v>
      </c>
      <c r="D36" s="12">
        <v>1921000</v>
      </c>
      <c r="E36" s="49">
        <v>2883000</v>
      </c>
      <c r="F36" s="12">
        <v>5848000</v>
      </c>
      <c r="G36" s="97" t="s">
        <v>175</v>
      </c>
      <c r="H36" s="72"/>
    </row>
    <row r="37" spans="2:8" ht="18" customHeight="1" x14ac:dyDescent="0.25">
      <c r="B37" s="21" t="s">
        <v>176</v>
      </c>
      <c r="C37" s="20" t="s">
        <v>177</v>
      </c>
      <c r="D37" s="24">
        <v>931000</v>
      </c>
      <c r="E37" s="50">
        <v>1402000</v>
      </c>
      <c r="F37" s="24">
        <v>2895000</v>
      </c>
      <c r="G37" s="94" t="s">
        <v>178</v>
      </c>
      <c r="H37" s="72"/>
    </row>
    <row r="38" spans="2:8" ht="18" customHeight="1" x14ac:dyDescent="0.25">
      <c r="B38" s="9" t="s">
        <v>179</v>
      </c>
      <c r="C38" s="8" t="s">
        <v>180</v>
      </c>
      <c r="D38" s="12">
        <v>2521000</v>
      </c>
      <c r="E38" s="49">
        <v>3779000</v>
      </c>
      <c r="F38" s="12">
        <v>7636000</v>
      </c>
      <c r="G38" s="97" t="s">
        <v>181</v>
      </c>
      <c r="H38" s="72"/>
    </row>
    <row r="39" spans="2:8" ht="18" customHeight="1" x14ac:dyDescent="0.25">
      <c r="B39" s="21" t="s">
        <v>182</v>
      </c>
      <c r="C39" s="20" t="s">
        <v>183</v>
      </c>
      <c r="D39" s="24">
        <v>2166000</v>
      </c>
      <c r="E39" s="50">
        <v>3249000</v>
      </c>
      <c r="F39" s="24">
        <v>6579000</v>
      </c>
      <c r="G39" s="94" t="s">
        <v>184</v>
      </c>
      <c r="H39" s="72"/>
    </row>
    <row r="40" spans="2:8" ht="18" customHeight="1" x14ac:dyDescent="0.25">
      <c r="B40" s="9" t="s">
        <v>185</v>
      </c>
      <c r="C40" s="8" t="s">
        <v>186</v>
      </c>
      <c r="D40" s="12">
        <v>4002000</v>
      </c>
      <c r="E40" s="49">
        <v>5993000</v>
      </c>
      <c r="F40" s="12">
        <v>12049000</v>
      </c>
      <c r="G40" s="97" t="s">
        <v>187</v>
      </c>
      <c r="H40" s="72"/>
    </row>
    <row r="41" spans="2:8" ht="18" customHeight="1" x14ac:dyDescent="0.25">
      <c r="B41" s="21" t="s">
        <v>188</v>
      </c>
      <c r="C41" s="20" t="s">
        <v>189</v>
      </c>
      <c r="D41" s="24">
        <v>1405000</v>
      </c>
      <c r="E41" s="50">
        <v>2111000</v>
      </c>
      <c r="F41" s="24">
        <v>4310000</v>
      </c>
      <c r="G41" s="94" t="s">
        <v>190</v>
      </c>
      <c r="H41" s="72"/>
    </row>
    <row r="42" spans="2:8" ht="18" customHeight="1" x14ac:dyDescent="0.25">
      <c r="B42" s="9" t="s">
        <v>191</v>
      </c>
      <c r="C42" s="8" t="s">
        <v>192</v>
      </c>
      <c r="D42" s="12">
        <v>628000</v>
      </c>
      <c r="E42" s="49">
        <v>950000</v>
      </c>
      <c r="F42" s="12">
        <v>1994000</v>
      </c>
      <c r="G42" s="97" t="s">
        <v>193</v>
      </c>
      <c r="H42" s="72"/>
    </row>
    <row r="43" spans="2:8" ht="18" customHeight="1" x14ac:dyDescent="0.25">
      <c r="B43" s="21" t="s">
        <v>194</v>
      </c>
      <c r="C43" s="20" t="s">
        <v>195</v>
      </c>
      <c r="D43" s="24">
        <v>4335000</v>
      </c>
      <c r="E43" s="50">
        <v>6491000</v>
      </c>
      <c r="F43" s="24">
        <v>13044000</v>
      </c>
      <c r="G43" s="94" t="s">
        <v>196</v>
      </c>
      <c r="H43" s="72"/>
    </row>
    <row r="44" spans="2:8" ht="18" customHeight="1" x14ac:dyDescent="0.25">
      <c r="B44" s="9" t="s">
        <v>197</v>
      </c>
      <c r="C44" s="8" t="s">
        <v>198</v>
      </c>
      <c r="D44" s="12">
        <v>5013000</v>
      </c>
      <c r="E44" s="49">
        <v>7505000</v>
      </c>
      <c r="F44" s="12">
        <v>15064000</v>
      </c>
      <c r="G44" s="97" t="s">
        <v>199</v>
      </c>
      <c r="H44" s="72"/>
    </row>
    <row r="45" spans="2:8" ht="18" customHeight="1" x14ac:dyDescent="0.25">
      <c r="B45" s="21" t="s">
        <v>200</v>
      </c>
      <c r="C45" s="20" t="s">
        <v>201</v>
      </c>
      <c r="D45" s="24">
        <v>3814000</v>
      </c>
      <c r="E45" s="50">
        <v>5712000</v>
      </c>
      <c r="F45" s="24">
        <v>11490000</v>
      </c>
      <c r="G45" s="94" t="s">
        <v>202</v>
      </c>
      <c r="H45" s="72"/>
    </row>
    <row r="46" spans="2:8" ht="18" customHeight="1" x14ac:dyDescent="0.25">
      <c r="B46" s="9" t="s">
        <v>203</v>
      </c>
      <c r="C46" s="8" t="s">
        <v>204</v>
      </c>
      <c r="D46" s="12">
        <v>1296000</v>
      </c>
      <c r="E46" s="49">
        <v>1947000</v>
      </c>
      <c r="F46" s="12">
        <v>3983000</v>
      </c>
      <c r="G46" s="97" t="s">
        <v>190</v>
      </c>
      <c r="H46" s="72"/>
    </row>
    <row r="47" spans="2:8" ht="18" customHeight="1" x14ac:dyDescent="0.25">
      <c r="B47" s="21" t="s">
        <v>205</v>
      </c>
      <c r="C47" s="20" t="s">
        <v>206</v>
      </c>
      <c r="D47" s="24">
        <v>3293000</v>
      </c>
      <c r="E47" s="50">
        <v>4933000</v>
      </c>
      <c r="F47" s="24">
        <v>9936000</v>
      </c>
      <c r="G47" s="94" t="s">
        <v>207</v>
      </c>
      <c r="H47" s="72"/>
    </row>
    <row r="48" spans="2:8" ht="8.1" customHeight="1" x14ac:dyDescent="0.25"/>
    <row r="49" spans="2:8" ht="21.95" customHeight="1" x14ac:dyDescent="0.25">
      <c r="B49" s="80" t="s">
        <v>208</v>
      </c>
      <c r="C49" s="74"/>
      <c r="D49" s="74"/>
      <c r="E49" s="74"/>
      <c r="F49" s="74"/>
      <c r="G49" s="74"/>
      <c r="H49" s="74"/>
    </row>
    <row r="50" spans="2:8" ht="26.1" customHeight="1" x14ac:dyDescent="0.25">
      <c r="B50" s="37" t="s">
        <v>209</v>
      </c>
      <c r="C50" s="38" t="s">
        <v>210</v>
      </c>
      <c r="D50" s="38" t="s">
        <v>211</v>
      </c>
      <c r="E50" s="102" t="s">
        <v>212</v>
      </c>
      <c r="F50" s="96"/>
      <c r="G50" s="96"/>
      <c r="H50" s="72"/>
    </row>
    <row r="51" spans="2:8" ht="18" customHeight="1" x14ac:dyDescent="0.25">
      <c r="B51" s="9" t="s">
        <v>213</v>
      </c>
      <c r="C51" s="51" t="s">
        <v>214</v>
      </c>
      <c r="D51" s="42">
        <v>0</v>
      </c>
      <c r="E51" s="95" t="s">
        <v>215</v>
      </c>
      <c r="F51" s="96"/>
      <c r="G51" s="96"/>
      <c r="H51" s="72"/>
    </row>
    <row r="52" spans="2:8" ht="18" customHeight="1" x14ac:dyDescent="0.25">
      <c r="B52" s="21" t="s">
        <v>216</v>
      </c>
      <c r="C52" s="53" t="s">
        <v>217</v>
      </c>
      <c r="D52" s="47">
        <v>20000</v>
      </c>
      <c r="E52" s="98" t="s">
        <v>218</v>
      </c>
      <c r="F52" s="96"/>
      <c r="G52" s="96"/>
      <c r="H52" s="72"/>
    </row>
    <row r="53" spans="2:8" ht="18" customHeight="1" x14ac:dyDescent="0.25">
      <c r="B53" s="9" t="s">
        <v>219</v>
      </c>
      <c r="C53" s="51" t="s">
        <v>220</v>
      </c>
      <c r="D53" s="42">
        <v>15000</v>
      </c>
      <c r="E53" s="95" t="s">
        <v>221</v>
      </c>
      <c r="F53" s="96"/>
      <c r="G53" s="96"/>
      <c r="H53" s="72"/>
    </row>
    <row r="54" spans="2:8" ht="18" customHeight="1" x14ac:dyDescent="0.25">
      <c r="B54" s="21" t="s">
        <v>222</v>
      </c>
      <c r="C54" s="53" t="s">
        <v>223</v>
      </c>
      <c r="D54" s="47">
        <v>10000</v>
      </c>
      <c r="E54" s="98" t="s">
        <v>224</v>
      </c>
      <c r="F54" s="96"/>
      <c r="G54" s="96"/>
      <c r="H54" s="72"/>
    </row>
    <row r="55" spans="2:8" ht="18" customHeight="1" x14ac:dyDescent="0.25">
      <c r="B55" s="9" t="s">
        <v>225</v>
      </c>
      <c r="C55" s="51" t="s">
        <v>226</v>
      </c>
      <c r="D55" s="42">
        <v>50000</v>
      </c>
      <c r="E55" s="95" t="s">
        <v>227</v>
      </c>
      <c r="F55" s="96"/>
      <c r="G55" s="96"/>
      <c r="H55" s="72"/>
    </row>
    <row r="56" spans="2:8" ht="18" customHeight="1" x14ac:dyDescent="0.25">
      <c r="B56" s="21" t="s">
        <v>228</v>
      </c>
      <c r="C56" s="53" t="s">
        <v>229</v>
      </c>
      <c r="D56" s="47">
        <v>80000</v>
      </c>
      <c r="E56" s="98" t="s">
        <v>230</v>
      </c>
      <c r="F56" s="96"/>
      <c r="G56" s="96"/>
      <c r="H56" s="72"/>
    </row>
    <row r="57" spans="2:8" ht="18" customHeight="1" x14ac:dyDescent="0.25">
      <c r="B57" s="9" t="s">
        <v>231</v>
      </c>
      <c r="C57" s="51" t="s">
        <v>232</v>
      </c>
      <c r="D57" s="42">
        <v>120000</v>
      </c>
      <c r="E57" s="95" t="s">
        <v>233</v>
      </c>
      <c r="F57" s="96"/>
      <c r="G57" s="96"/>
      <c r="H57" s="72"/>
    </row>
    <row r="58" spans="2:8" ht="18" customHeight="1" x14ac:dyDescent="0.25">
      <c r="B58" s="21" t="s">
        <v>234</v>
      </c>
      <c r="C58" s="53" t="s">
        <v>235</v>
      </c>
      <c r="D58" s="47">
        <v>35000</v>
      </c>
      <c r="E58" s="98" t="s">
        <v>236</v>
      </c>
      <c r="F58" s="96"/>
      <c r="G58" s="96"/>
      <c r="H58" s="72"/>
    </row>
    <row r="59" spans="2:8" ht="18" customHeight="1" x14ac:dyDescent="0.25">
      <c r="B59" s="9" t="s">
        <v>237</v>
      </c>
      <c r="C59" s="51" t="s">
        <v>238</v>
      </c>
      <c r="D59" s="42">
        <v>25000</v>
      </c>
      <c r="E59" s="95" t="s">
        <v>239</v>
      </c>
      <c r="F59" s="96"/>
      <c r="G59" s="96"/>
      <c r="H59" s="72"/>
    </row>
    <row r="60" spans="2:8" ht="18" customHeight="1" x14ac:dyDescent="0.25">
      <c r="B60" s="21" t="s">
        <v>240</v>
      </c>
      <c r="C60" s="53" t="s">
        <v>241</v>
      </c>
      <c r="D60" s="47">
        <v>18000</v>
      </c>
      <c r="E60" s="98" t="s">
        <v>242</v>
      </c>
      <c r="F60" s="96"/>
      <c r="G60" s="96"/>
      <c r="H60" s="72"/>
    </row>
    <row r="61" spans="2:8" ht="18" customHeight="1" x14ac:dyDescent="0.25">
      <c r="B61" s="9" t="s">
        <v>243</v>
      </c>
      <c r="C61" s="51" t="s">
        <v>244</v>
      </c>
      <c r="D61" s="42">
        <v>22000</v>
      </c>
      <c r="E61" s="95" t="s">
        <v>245</v>
      </c>
      <c r="F61" s="96"/>
      <c r="G61" s="96"/>
      <c r="H61" s="72"/>
    </row>
    <row r="62" spans="2:8" ht="18" customHeight="1" x14ac:dyDescent="0.25">
      <c r="B62" s="21" t="s">
        <v>246</v>
      </c>
      <c r="C62" s="53" t="s">
        <v>247</v>
      </c>
      <c r="D62" s="47">
        <v>45000</v>
      </c>
      <c r="E62" s="98" t="s">
        <v>248</v>
      </c>
      <c r="F62" s="96"/>
      <c r="G62" s="96"/>
      <c r="H62" s="72"/>
    </row>
  </sheetData>
  <mergeCells count="41">
    <mergeCell ref="B34:H34"/>
    <mergeCell ref="E62:H62"/>
    <mergeCell ref="E55:H55"/>
    <mergeCell ref="E14:H14"/>
    <mergeCell ref="E52:H52"/>
    <mergeCell ref="B21:H21"/>
    <mergeCell ref="E51:H51"/>
    <mergeCell ref="G45:H45"/>
    <mergeCell ref="E19:H19"/>
    <mergeCell ref="G35:H35"/>
    <mergeCell ref="E60:H60"/>
    <mergeCell ref="B17:H17"/>
    <mergeCell ref="G47:H47"/>
    <mergeCell ref="G41:H41"/>
    <mergeCell ref="E15:H15"/>
    <mergeCell ref="E59:H59"/>
    <mergeCell ref="G44:H44"/>
    <mergeCell ref="G36:H36"/>
    <mergeCell ref="B2:H5"/>
    <mergeCell ref="G39:H39"/>
    <mergeCell ref="E18:H18"/>
    <mergeCell ref="E53:H53"/>
    <mergeCell ref="G38:H38"/>
    <mergeCell ref="E12:H12"/>
    <mergeCell ref="E50:H50"/>
    <mergeCell ref="G37:H37"/>
    <mergeCell ref="E10:H10"/>
    <mergeCell ref="E13:H13"/>
    <mergeCell ref="B8:H8"/>
    <mergeCell ref="E9:H9"/>
    <mergeCell ref="G46:H46"/>
    <mergeCell ref="G40:H40"/>
    <mergeCell ref="E11:H11"/>
    <mergeCell ref="G43:H43"/>
    <mergeCell ref="E61:H61"/>
    <mergeCell ref="B49:H49"/>
    <mergeCell ref="E57:H57"/>
    <mergeCell ref="G42:H42"/>
    <mergeCell ref="E54:H54"/>
    <mergeCell ref="E56:H56"/>
    <mergeCell ref="E58:H58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7B20"/>
    <pageSetUpPr fitToPage="1"/>
  </sheetPr>
  <dimension ref="B2:G32"/>
  <sheetViews>
    <sheetView showGridLines="0" topLeftCell="A4" workbookViewId="0">
      <selection activeCell="C21" sqref="C21:D21"/>
    </sheetView>
  </sheetViews>
  <sheetFormatPr baseColWidth="10" defaultColWidth="9.140625" defaultRowHeight="15" x14ac:dyDescent="0.25"/>
  <cols>
    <col min="1" max="1" width="3" customWidth="1"/>
    <col min="2" max="2" width="38" customWidth="1"/>
    <col min="3" max="3" width="22" customWidth="1"/>
    <col min="4" max="4" width="18" customWidth="1"/>
    <col min="5" max="5" width="6" customWidth="1"/>
    <col min="6" max="6" width="16" customWidth="1"/>
    <col min="7" max="7" width="14" customWidth="1"/>
    <col min="8" max="8" width="3" customWidth="1"/>
  </cols>
  <sheetData>
    <row r="2" spans="2:7" x14ac:dyDescent="0.25">
      <c r="B2" s="107" t="s">
        <v>249</v>
      </c>
      <c r="C2" s="74"/>
      <c r="D2" s="74"/>
      <c r="E2" s="74"/>
      <c r="F2" s="74"/>
      <c r="G2" s="74"/>
    </row>
    <row r="3" spans="2:7" x14ac:dyDescent="0.25">
      <c r="B3" s="74"/>
      <c r="C3" s="74"/>
      <c r="D3" s="74"/>
      <c r="E3" s="74"/>
      <c r="F3" s="74"/>
      <c r="G3" s="74"/>
    </row>
    <row r="4" spans="2:7" x14ac:dyDescent="0.25">
      <c r="B4" s="74"/>
      <c r="C4" s="74"/>
      <c r="D4" s="74"/>
      <c r="E4" s="74"/>
      <c r="F4" s="74"/>
      <c r="G4" s="74"/>
    </row>
    <row r="5" spans="2:7" x14ac:dyDescent="0.25">
      <c r="B5" s="74"/>
      <c r="C5" s="74"/>
      <c r="D5" s="74"/>
      <c r="E5" s="74"/>
      <c r="F5" s="74"/>
      <c r="G5" s="74"/>
    </row>
    <row r="6" spans="2:7" ht="8.1" customHeight="1" x14ac:dyDescent="0.25"/>
    <row r="8" spans="2:7" ht="21.95" customHeight="1" x14ac:dyDescent="0.25">
      <c r="B8" s="80" t="s">
        <v>250</v>
      </c>
      <c r="C8" s="74"/>
      <c r="D8" s="74"/>
      <c r="E8" s="74"/>
      <c r="F8" s="74"/>
      <c r="G8" s="74"/>
    </row>
    <row r="9" spans="2:7" ht="21" customHeight="1" x14ac:dyDescent="0.25">
      <c r="B9" s="29" t="s">
        <v>251</v>
      </c>
      <c r="C9" s="55">
        <v>357</v>
      </c>
      <c r="D9" s="31" t="s">
        <v>55</v>
      </c>
      <c r="F9" s="5" t="s">
        <v>252</v>
      </c>
    </row>
    <row r="10" spans="2:7" ht="21" customHeight="1" x14ac:dyDescent="0.25">
      <c r="B10" s="29" t="s">
        <v>253</v>
      </c>
      <c r="C10" s="55">
        <v>4</v>
      </c>
      <c r="D10" s="31" t="s">
        <v>254</v>
      </c>
      <c r="F10" s="108" t="str">
        <f>INDEX('⚙️ Paramètres'!$B$23:$B$32,C10)</f>
        <v>🚚 Camion 5 tonnes</v>
      </c>
      <c r="G10" s="74"/>
    </row>
    <row r="11" spans="2:7" ht="21" customHeight="1" x14ac:dyDescent="0.25">
      <c r="B11" s="29" t="s">
        <v>255</v>
      </c>
      <c r="C11" s="55">
        <v>4000</v>
      </c>
      <c r="D11" s="31" t="s">
        <v>256</v>
      </c>
    </row>
    <row r="12" spans="2:7" ht="21" customHeight="1" x14ac:dyDescent="0.25">
      <c r="B12" s="29" t="s">
        <v>257</v>
      </c>
      <c r="C12" s="56">
        <v>20000000</v>
      </c>
      <c r="D12" s="31" t="s">
        <v>258</v>
      </c>
    </row>
    <row r="13" spans="2:7" ht="21" customHeight="1" x14ac:dyDescent="0.25">
      <c r="B13" s="29" t="s">
        <v>259</v>
      </c>
      <c r="C13" s="55" t="s">
        <v>260</v>
      </c>
      <c r="D13" s="31" t="s">
        <v>261</v>
      </c>
    </row>
    <row r="14" spans="2:7" ht="21" customHeight="1" x14ac:dyDescent="0.25">
      <c r="B14" s="29" t="s">
        <v>262</v>
      </c>
      <c r="C14" s="55" t="s">
        <v>260</v>
      </c>
      <c r="D14" s="31" t="s">
        <v>261</v>
      </c>
    </row>
    <row r="15" spans="2:7" ht="21" customHeight="1" x14ac:dyDescent="0.25">
      <c r="B15" s="29" t="s">
        <v>263</v>
      </c>
      <c r="C15" s="55" t="s">
        <v>260</v>
      </c>
      <c r="D15" s="31" t="s">
        <v>261</v>
      </c>
    </row>
    <row r="16" spans="2:7" ht="21" customHeight="1" x14ac:dyDescent="0.25">
      <c r="B16" s="29" t="s">
        <v>264</v>
      </c>
      <c r="C16" s="55">
        <v>0</v>
      </c>
      <c r="D16" s="31" t="s">
        <v>118</v>
      </c>
    </row>
    <row r="17" spans="2:7" ht="21" customHeight="1" x14ac:dyDescent="0.25">
      <c r="B17" s="29" t="s">
        <v>265</v>
      </c>
      <c r="C17" s="55" t="s">
        <v>91</v>
      </c>
      <c r="D17" s="31" t="s">
        <v>261</v>
      </c>
    </row>
    <row r="18" spans="2:7" ht="8.1" customHeight="1" x14ac:dyDescent="0.25"/>
    <row r="19" spans="2:7" ht="21.95" customHeight="1" x14ac:dyDescent="0.25">
      <c r="B19" s="80" t="s">
        <v>266</v>
      </c>
      <c r="C19" s="74"/>
      <c r="D19" s="74"/>
      <c r="E19" s="74"/>
      <c r="F19" s="74"/>
      <c r="G19" s="74"/>
    </row>
    <row r="20" spans="2:7" ht="20.100000000000001" customHeight="1" x14ac:dyDescent="0.25">
      <c r="B20" s="9" t="s">
        <v>267</v>
      </c>
      <c r="C20" s="104">
        <f>ROUND(C9*INDEX('⚙️ Paramètres'!$D$23:$D$32,C10)*(1+INDEX('⚙️ Paramètres'!$H$23:$H$32,C10)),0)</f>
        <v>1199520</v>
      </c>
      <c r="D20" s="72"/>
    </row>
    <row r="21" spans="2:7" ht="20.100000000000001" customHeight="1" x14ac:dyDescent="0.25">
      <c r="B21" s="15" t="s">
        <v>268</v>
      </c>
      <c r="C21" s="105">
        <f>ROUND(C9*INDEX('⚙️ Paramètres'!$F$23:$F$32,C10),0)</f>
        <v>437325</v>
      </c>
      <c r="D21" s="72"/>
    </row>
    <row r="22" spans="2:7" ht="20.100000000000001" customHeight="1" x14ac:dyDescent="0.25">
      <c r="B22" s="15" t="s">
        <v>58</v>
      </c>
      <c r="C22" s="105">
        <f>IF(C15="Oui",ROUND((C20+C21)*'⚙️ Paramètres'!$C$15,0),0)</f>
        <v>1145792</v>
      </c>
      <c r="D22" s="72"/>
    </row>
    <row r="23" spans="2:7" ht="20.100000000000001" customHeight="1" x14ac:dyDescent="0.25">
      <c r="B23" s="21" t="s">
        <v>269</v>
      </c>
      <c r="C23" s="109">
        <f>INDEX('⚙️ Paramètres'!$G$23:$G$32,C10)</f>
        <v>100000</v>
      </c>
      <c r="D23" s="72"/>
    </row>
    <row r="24" spans="2:7" ht="20.100000000000001" customHeight="1" x14ac:dyDescent="0.25">
      <c r="B24" s="9" t="s">
        <v>270</v>
      </c>
      <c r="C24" s="104">
        <f>IF(C13="Oui",ROUND(INDEX('⚙️ Paramètres'!$G$23:$G$32,C10)*0.15,0),0)</f>
        <v>15000</v>
      </c>
      <c r="D24" s="72"/>
    </row>
    <row r="25" spans="2:7" ht="20.100000000000001" customHeight="1" x14ac:dyDescent="0.25">
      <c r="B25" s="21" t="s">
        <v>271</v>
      </c>
      <c r="C25" s="109">
        <f>IF(C14="Oui",ROUND(INDEX('⚙️ Paramètres'!$G$23:$G$32,C10)*0.15,0),0)</f>
        <v>15000</v>
      </c>
      <c r="D25" s="72"/>
    </row>
    <row r="26" spans="2:7" ht="20.100000000000001" customHeight="1" x14ac:dyDescent="0.25">
      <c r="B26" s="9" t="s">
        <v>272</v>
      </c>
      <c r="C26" s="104">
        <f>ROUND(C12*0.005,0)</f>
        <v>100000</v>
      </c>
      <c r="D26" s="72"/>
    </row>
    <row r="27" spans="2:7" ht="20.100000000000001" customHeight="1" x14ac:dyDescent="0.25">
      <c r="B27" s="21" t="s">
        <v>273</v>
      </c>
      <c r="C27" s="109">
        <f>ROUND((C20+C22)*0.03,0)</f>
        <v>70359</v>
      </c>
      <c r="D27" s="72"/>
    </row>
    <row r="28" spans="2:7" ht="21.95" customHeight="1" x14ac:dyDescent="0.25">
      <c r="B28" s="57" t="s">
        <v>87</v>
      </c>
      <c r="C28" s="111">
        <f>SUM(C20:C27)</f>
        <v>3082996</v>
      </c>
      <c r="D28" s="72"/>
    </row>
    <row r="29" spans="2:7" x14ac:dyDescent="0.25">
      <c r="B29" s="58" t="s">
        <v>274</v>
      </c>
      <c r="C29" s="84">
        <f>-ROUND(C28*C16/100,0)</f>
        <v>0</v>
      </c>
      <c r="D29" s="74"/>
    </row>
    <row r="30" spans="2:7" x14ac:dyDescent="0.25">
      <c r="B30" s="58" t="s">
        <v>275</v>
      </c>
      <c r="C30" s="106">
        <f>IF(C17="Oui",ROUND((C28+C29)*0.2,0),0)</f>
        <v>0</v>
      </c>
      <c r="D30" s="74"/>
    </row>
    <row r="31" spans="2:7" ht="30" customHeight="1" x14ac:dyDescent="0.25">
      <c r="B31" s="59" t="s">
        <v>276</v>
      </c>
      <c r="C31" s="112">
        <f>C28+C29+C30</f>
        <v>3082996</v>
      </c>
      <c r="D31" s="74"/>
    </row>
    <row r="32" spans="2:7" ht="20.100000000000001" customHeight="1" x14ac:dyDescent="0.25">
      <c r="B32" s="58" t="s">
        <v>277</v>
      </c>
      <c r="C32" s="110">
        <f>IF(C9&gt;0,ROUND(C31/C9,0),0)</f>
        <v>8636</v>
      </c>
      <c r="D32" s="74"/>
    </row>
  </sheetData>
  <mergeCells count="17">
    <mergeCell ref="C30:D30"/>
    <mergeCell ref="B2:G5"/>
    <mergeCell ref="F10:G10"/>
    <mergeCell ref="C25:D25"/>
    <mergeCell ref="C32:D32"/>
    <mergeCell ref="C27:D27"/>
    <mergeCell ref="B8:G8"/>
    <mergeCell ref="C28:D28"/>
    <mergeCell ref="C22:D22"/>
    <mergeCell ref="C31:D31"/>
    <mergeCell ref="C26:D26"/>
    <mergeCell ref="C23:D23"/>
    <mergeCell ref="B19:G19"/>
    <mergeCell ref="C20:D20"/>
    <mergeCell ref="C29:D29"/>
    <mergeCell ref="C21:D21"/>
    <mergeCell ref="C24:D24"/>
  </mergeCells>
  <dataValidations count="2">
    <dataValidation type="list" allowBlank="1" sqref="C13 C14 C15 C17">
      <formula1>"Oui,Non"</formula1>
    </dataValidation>
    <dataValidation type="whole" errorTitle="Type de véhicule" error="Choisir un type de véhicule de 1 (moto) à 10 (conteneur 40')." sqref="C10">
      <formula1>1</formula1>
      <formula2>10</formula2>
    </dataValidation>
  </dataValidation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86A10"/>
    <pageSetUpPr fitToPage="1"/>
  </sheetPr>
  <dimension ref="B2:L21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16" customWidth="1"/>
    <col min="3" max="3" width="13" customWidth="1"/>
    <col min="4" max="4" width="24" customWidth="1"/>
    <col min="5" max="6" width="18" customWidth="1"/>
    <col min="7" max="7" width="11" customWidth="1"/>
    <col min="8" max="8" width="16" customWidth="1"/>
    <col min="9" max="10" width="14" customWidth="1"/>
    <col min="11" max="11" width="13" customWidth="1"/>
    <col min="12" max="12" width="18" customWidth="1"/>
    <col min="13" max="13" width="3" customWidth="1"/>
  </cols>
  <sheetData>
    <row r="2" spans="2:12" x14ac:dyDescent="0.25">
      <c r="B2" s="115" t="s">
        <v>278</v>
      </c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2:12" x14ac:dyDescent="0.25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2:12" x14ac:dyDescent="0.25"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</row>
    <row r="5" spans="2:12" ht="8.1" customHeight="1" x14ac:dyDescent="0.25"/>
    <row r="6" spans="2:12" ht="26.1" customHeight="1" x14ac:dyDescent="0.25">
      <c r="B6" s="38" t="s">
        <v>279</v>
      </c>
      <c r="C6" s="38" t="s">
        <v>280</v>
      </c>
      <c r="D6" s="37" t="s">
        <v>281</v>
      </c>
      <c r="E6" s="37" t="s">
        <v>282</v>
      </c>
      <c r="F6" s="37" t="s">
        <v>283</v>
      </c>
      <c r="G6" s="38" t="s">
        <v>168</v>
      </c>
      <c r="H6" s="37" t="s">
        <v>284</v>
      </c>
      <c r="I6" s="38" t="s">
        <v>285</v>
      </c>
      <c r="J6" s="38" t="s">
        <v>286</v>
      </c>
      <c r="K6" s="38" t="s">
        <v>287</v>
      </c>
      <c r="L6" s="37" t="s">
        <v>212</v>
      </c>
    </row>
    <row r="7" spans="2:12" ht="18.95" customHeight="1" x14ac:dyDescent="0.25">
      <c r="B7" s="51" t="s">
        <v>288</v>
      </c>
      <c r="C7" s="8" t="s">
        <v>289</v>
      </c>
      <c r="D7" s="9" t="s">
        <v>290</v>
      </c>
      <c r="E7" s="60" t="s">
        <v>291</v>
      </c>
      <c r="F7" s="60" t="s">
        <v>292</v>
      </c>
      <c r="G7" s="8" t="s">
        <v>174</v>
      </c>
      <c r="H7" s="61" t="s">
        <v>293</v>
      </c>
      <c r="I7" s="12">
        <v>2883000</v>
      </c>
      <c r="J7" s="49">
        <v>2883000</v>
      </c>
      <c r="K7" s="62" t="s">
        <v>294</v>
      </c>
      <c r="L7" s="52" t="s">
        <v>295</v>
      </c>
    </row>
    <row r="8" spans="2:12" ht="18.95" customHeight="1" x14ac:dyDescent="0.25">
      <c r="B8" s="53" t="s">
        <v>296</v>
      </c>
      <c r="C8" s="20" t="s">
        <v>297</v>
      </c>
      <c r="D8" s="21" t="s">
        <v>298</v>
      </c>
      <c r="E8" s="63" t="s">
        <v>299</v>
      </c>
      <c r="F8" s="63" t="s">
        <v>300</v>
      </c>
      <c r="G8" s="20" t="s">
        <v>177</v>
      </c>
      <c r="H8" s="64" t="s">
        <v>301</v>
      </c>
      <c r="I8" s="24">
        <v>931000</v>
      </c>
      <c r="J8" s="50">
        <v>931000</v>
      </c>
      <c r="K8" s="65" t="s">
        <v>294</v>
      </c>
      <c r="L8" s="54" t="s">
        <v>302</v>
      </c>
    </row>
    <row r="9" spans="2:12" ht="18.95" customHeight="1" x14ac:dyDescent="0.25">
      <c r="B9" s="51" t="s">
        <v>303</v>
      </c>
      <c r="C9" s="8" t="s">
        <v>304</v>
      </c>
      <c r="D9" s="9" t="s">
        <v>305</v>
      </c>
      <c r="E9" s="60" t="s">
        <v>306</v>
      </c>
      <c r="F9" s="60" t="s">
        <v>307</v>
      </c>
      <c r="G9" s="8" t="s">
        <v>180</v>
      </c>
      <c r="H9" s="61" t="s">
        <v>293</v>
      </c>
      <c r="I9" s="12">
        <v>3779000</v>
      </c>
      <c r="J9" s="49">
        <v>3779000</v>
      </c>
      <c r="K9" s="62" t="s">
        <v>294</v>
      </c>
      <c r="L9" s="52" t="s">
        <v>308</v>
      </c>
    </row>
    <row r="10" spans="2:12" ht="18.95" customHeight="1" x14ac:dyDescent="0.25">
      <c r="B10" s="53" t="s">
        <v>309</v>
      </c>
      <c r="C10" s="20" t="s">
        <v>310</v>
      </c>
      <c r="D10" s="21" t="s">
        <v>311</v>
      </c>
      <c r="E10" s="63" t="s">
        <v>312</v>
      </c>
      <c r="F10" s="63" t="s">
        <v>313</v>
      </c>
      <c r="G10" s="20" t="s">
        <v>183</v>
      </c>
      <c r="H10" s="64" t="s">
        <v>314</v>
      </c>
      <c r="I10" s="24">
        <v>6579000</v>
      </c>
      <c r="J10" s="50">
        <v>6579000</v>
      </c>
      <c r="K10" s="65" t="s">
        <v>294</v>
      </c>
      <c r="L10" s="54" t="s">
        <v>314</v>
      </c>
    </row>
    <row r="11" spans="2:12" ht="18.95" customHeight="1" x14ac:dyDescent="0.25">
      <c r="B11" s="51" t="s">
        <v>315</v>
      </c>
      <c r="C11" s="8" t="s">
        <v>316</v>
      </c>
      <c r="D11" s="9" t="s">
        <v>317</v>
      </c>
      <c r="E11" s="60" t="s">
        <v>318</v>
      </c>
      <c r="F11" s="60" t="s">
        <v>319</v>
      </c>
      <c r="G11" s="8" t="s">
        <v>192</v>
      </c>
      <c r="H11" s="61" t="s">
        <v>320</v>
      </c>
      <c r="I11" s="12">
        <v>365000</v>
      </c>
      <c r="J11" s="49">
        <v>365000</v>
      </c>
      <c r="K11" s="62" t="s">
        <v>321</v>
      </c>
      <c r="L11" s="52" t="s">
        <v>322</v>
      </c>
    </row>
    <row r="12" spans="2:12" ht="18.95" customHeight="1" x14ac:dyDescent="0.25">
      <c r="B12" s="53" t="s">
        <v>323</v>
      </c>
      <c r="C12" s="20" t="s">
        <v>324</v>
      </c>
      <c r="D12" s="21" t="s">
        <v>325</v>
      </c>
      <c r="E12" s="63" t="s">
        <v>326</v>
      </c>
      <c r="F12" s="63" t="s">
        <v>327</v>
      </c>
      <c r="G12" s="20" t="s">
        <v>328</v>
      </c>
      <c r="H12" s="64" t="s">
        <v>293</v>
      </c>
      <c r="I12" s="24">
        <v>3685000</v>
      </c>
      <c r="J12" s="50">
        <v>3685000</v>
      </c>
      <c r="K12" s="65" t="s">
        <v>329</v>
      </c>
      <c r="L12" s="54" t="s">
        <v>330</v>
      </c>
    </row>
    <row r="13" spans="2:12" ht="18.95" customHeight="1" x14ac:dyDescent="0.25">
      <c r="B13" s="51" t="s">
        <v>331</v>
      </c>
      <c r="C13" s="8" t="s">
        <v>332</v>
      </c>
      <c r="D13" s="9" t="s">
        <v>333</v>
      </c>
      <c r="E13" s="60" t="s">
        <v>291</v>
      </c>
      <c r="F13" s="60" t="s">
        <v>334</v>
      </c>
      <c r="G13" s="8" t="s">
        <v>177</v>
      </c>
      <c r="H13" s="61" t="s">
        <v>301</v>
      </c>
      <c r="I13" s="12">
        <v>931000</v>
      </c>
      <c r="J13" s="49">
        <v>931000</v>
      </c>
      <c r="K13" s="62" t="s">
        <v>321</v>
      </c>
      <c r="L13" s="52" t="s">
        <v>335</v>
      </c>
    </row>
    <row r="14" spans="2:12" ht="21.95" customHeight="1" x14ac:dyDescent="0.25">
      <c r="B14" s="114" t="s">
        <v>336</v>
      </c>
      <c r="C14" s="74"/>
      <c r="D14" s="74"/>
      <c r="E14" s="74"/>
      <c r="F14" s="74"/>
      <c r="G14" s="74"/>
      <c r="H14" s="74"/>
      <c r="I14" s="67">
        <f>SUMIF(K7:K13,"✅ Accepté",I7:I13)</f>
        <v>14172000</v>
      </c>
      <c r="J14" s="66" t="str">
        <f>COUNTIF(K7:K13,"✅ Accepté")&amp;" acceptés"</f>
        <v>4 acceptés</v>
      </c>
      <c r="K14" s="28"/>
      <c r="L14" s="28"/>
    </row>
    <row r="16" spans="2:12" ht="21.95" customHeight="1" x14ac:dyDescent="0.25">
      <c r="B16" s="113" t="s">
        <v>337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</row>
    <row r="17" spans="2:3" ht="18.95" customHeight="1" x14ac:dyDescent="0.25">
      <c r="B17" s="29" t="s">
        <v>335</v>
      </c>
      <c r="C17" s="68">
        <f>COUNTA(B7:B13)</f>
        <v>7</v>
      </c>
    </row>
    <row r="18" spans="2:3" ht="18.95" customHeight="1" x14ac:dyDescent="0.25">
      <c r="B18" s="29" t="s">
        <v>338</v>
      </c>
      <c r="C18" s="68">
        <f>COUNTIF(K7:K13,"✅ Accepté")</f>
        <v>4</v>
      </c>
    </row>
    <row r="19" spans="2:3" ht="18.95" customHeight="1" x14ac:dyDescent="0.25">
      <c r="B19" s="29" t="s">
        <v>339</v>
      </c>
      <c r="C19" s="69">
        <f>IFERROR(COUNTIF(K7:K13,"✅ Accepté")/COUNTA(B7:B13),0)</f>
        <v>0.5714285714285714</v>
      </c>
    </row>
    <row r="20" spans="2:3" ht="18.95" customHeight="1" x14ac:dyDescent="0.25">
      <c r="B20" s="29" t="s">
        <v>340</v>
      </c>
      <c r="C20" s="70">
        <f>SUMIF(K7:K13,"✅ Accepté",I7:I13)</f>
        <v>14172000</v>
      </c>
    </row>
    <row r="21" spans="2:3" ht="18.95" customHeight="1" x14ac:dyDescent="0.25">
      <c r="B21" s="29" t="s">
        <v>341</v>
      </c>
      <c r="C21" s="70">
        <f>IFERROR(AVERAGE(I7:I13),0)</f>
        <v>2736142.8571428573</v>
      </c>
    </row>
  </sheetData>
  <mergeCells count="3">
    <mergeCell ref="B16:L16"/>
    <mergeCell ref="B14:H14"/>
    <mergeCell ref="B2:L4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📋 Devis Client</vt:lpstr>
      <vt:lpstr>⚙️ Paramètres</vt:lpstr>
      <vt:lpstr>🧮 Calculateur Rapide</vt:lpstr>
      <vt:lpstr>📊 Historique Devis</vt:lpstr>
      <vt:lpstr>'📋 Devis Client'!Zone_d_impression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Alaoy Raissa</cp:lastModifiedBy>
  <dcterms:created xsi:type="dcterms:W3CDTF">2026-06-29T22:37:13Z</dcterms:created>
  <dcterms:modified xsi:type="dcterms:W3CDTF">2026-06-29T23:58:01Z</dcterms:modified>
</cp:coreProperties>
</file>