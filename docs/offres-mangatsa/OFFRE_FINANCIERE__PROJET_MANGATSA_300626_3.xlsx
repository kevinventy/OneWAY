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NEW\Downloads\Cadimage_Tools_for_ARCHICAD_24-25_Win_x64\"/>
    </mc:Choice>
  </mc:AlternateContent>
  <xr:revisionPtr revIDLastSave="0" documentId="13_ncr:1_{41C9BC3E-F473-47E6-B431-29EFD6FD0AF8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DQE REHAB BAT A" sheetId="15" r:id="rId1"/>
    <sheet name="DQE REHAB BAT B" sheetId="16" r:id="rId2"/>
    <sheet name="DQE REHAB BAT C" sheetId="18" r:id="rId3"/>
    <sheet name="DQE REHAB BLOC SANITAIRE" sheetId="14" r:id="rId4"/>
    <sheet name="DQE LOCAL TECH" sheetId="19" r:id="rId5"/>
    <sheet name="DQE NOUV CONSTRUCTION" sheetId="10" r:id="rId7"/>
    <sheet name="RECAP" sheetId="7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000" localSheetId="4">#REF!</definedName>
    <definedName name="_000" localSheetId="5">#REF!</definedName>
    <definedName name="_000" localSheetId="0">#REF!</definedName>
    <definedName name="_000" localSheetId="1">#REF!</definedName>
    <definedName name="_000" localSheetId="2">#REF!</definedName>
    <definedName name="_000" localSheetId="3">#REF!</definedName>
    <definedName name="_000" localSheetId="6">#REF!</definedName>
    <definedName name="_000">#REF!</definedName>
    <definedName name="_1000" localSheetId="4">#REF!</definedName>
    <definedName name="_1000" localSheetId="5">#REF!</definedName>
    <definedName name="_1000" localSheetId="0">#REF!</definedName>
    <definedName name="_1000" localSheetId="1">#REF!</definedName>
    <definedName name="_1000" localSheetId="2">#REF!</definedName>
    <definedName name="_1000" localSheetId="3">#REF!</definedName>
    <definedName name="_1000" localSheetId="6">#REF!</definedName>
    <definedName name="_1000">#REF!</definedName>
    <definedName name="_101" localSheetId="4">#REF!</definedName>
    <definedName name="_101" localSheetId="5">#REF!</definedName>
    <definedName name="_101" localSheetId="0">#REF!</definedName>
    <definedName name="_101" localSheetId="1">#REF!</definedName>
    <definedName name="_101" localSheetId="2">#REF!</definedName>
    <definedName name="_101" localSheetId="3">#REF!</definedName>
    <definedName name="_101" localSheetId="6">#REF!</definedName>
    <definedName name="_101">#REF!</definedName>
    <definedName name="_102" localSheetId="4">#REF!</definedName>
    <definedName name="_102" localSheetId="5">#REF!</definedName>
    <definedName name="_102" localSheetId="0">#REF!</definedName>
    <definedName name="_102" localSheetId="1">#REF!</definedName>
    <definedName name="_102" localSheetId="2">#REF!</definedName>
    <definedName name="_102" localSheetId="3">#REF!</definedName>
    <definedName name="_102" localSheetId="6">#REF!</definedName>
    <definedName name="_102">#REF!</definedName>
    <definedName name="_103" localSheetId="4">#REF!</definedName>
    <definedName name="_103" localSheetId="5">#REF!</definedName>
    <definedName name="_103" localSheetId="0">#REF!</definedName>
    <definedName name="_103" localSheetId="1">#REF!</definedName>
    <definedName name="_103" localSheetId="2">#REF!</definedName>
    <definedName name="_103" localSheetId="3">#REF!</definedName>
    <definedName name="_103" localSheetId="6">#REF!</definedName>
    <definedName name="_103">#REF!</definedName>
    <definedName name="_201" localSheetId="4">#REF!</definedName>
    <definedName name="_201" localSheetId="5">#REF!</definedName>
    <definedName name="_201" localSheetId="0">#REF!</definedName>
    <definedName name="_201" localSheetId="1">#REF!</definedName>
    <definedName name="_201" localSheetId="2">#REF!</definedName>
    <definedName name="_201" localSheetId="3">#REF!</definedName>
    <definedName name="_201" localSheetId="6">#REF!</definedName>
    <definedName name="_201">#REF!</definedName>
    <definedName name="_202" localSheetId="4">#REF!</definedName>
    <definedName name="_202" localSheetId="5">#REF!</definedName>
    <definedName name="_202" localSheetId="0">#REF!</definedName>
    <definedName name="_202" localSheetId="1">#REF!</definedName>
    <definedName name="_202" localSheetId="2">#REF!</definedName>
    <definedName name="_202" localSheetId="3">#REF!</definedName>
    <definedName name="_202" localSheetId="6">#REF!</definedName>
    <definedName name="_202">#REF!</definedName>
    <definedName name="_202a" localSheetId="4">#REF!</definedName>
    <definedName name="_202a" localSheetId="5">#REF!</definedName>
    <definedName name="_202a" localSheetId="0">#REF!</definedName>
    <definedName name="_202a" localSheetId="1">#REF!</definedName>
    <definedName name="_202a" localSheetId="2">#REF!</definedName>
    <definedName name="_202a" localSheetId="3">#REF!</definedName>
    <definedName name="_202a" localSheetId="6">#REF!</definedName>
    <definedName name="_202a">#REF!</definedName>
    <definedName name="_203" localSheetId="4">#REF!</definedName>
    <definedName name="_203" localSheetId="5">#REF!</definedName>
    <definedName name="_203" localSheetId="0">#REF!</definedName>
    <definedName name="_203" localSheetId="1">#REF!</definedName>
    <definedName name="_203" localSheetId="2">#REF!</definedName>
    <definedName name="_203" localSheetId="3">#REF!</definedName>
    <definedName name="_203" localSheetId="6">#REF!</definedName>
    <definedName name="_203">#REF!</definedName>
    <definedName name="_204" localSheetId="4">#REF!</definedName>
    <definedName name="_204" localSheetId="5">#REF!</definedName>
    <definedName name="_204" localSheetId="0">#REF!</definedName>
    <definedName name="_204" localSheetId="1">#REF!</definedName>
    <definedName name="_204" localSheetId="2">#REF!</definedName>
    <definedName name="_204" localSheetId="3">#REF!</definedName>
    <definedName name="_204" localSheetId="6">#REF!</definedName>
    <definedName name="_204">#REF!</definedName>
    <definedName name="_205" localSheetId="4">#REF!</definedName>
    <definedName name="_205" localSheetId="5">#REF!</definedName>
    <definedName name="_205" localSheetId="0">#REF!</definedName>
    <definedName name="_205" localSheetId="1">#REF!</definedName>
    <definedName name="_205" localSheetId="2">#REF!</definedName>
    <definedName name="_205" localSheetId="3">#REF!</definedName>
    <definedName name="_205" localSheetId="6">#REF!</definedName>
    <definedName name="_205">#REF!</definedName>
    <definedName name="_206" localSheetId="4">#REF!</definedName>
    <definedName name="_206" localSheetId="5">#REF!</definedName>
    <definedName name="_206" localSheetId="0">#REF!</definedName>
    <definedName name="_206" localSheetId="1">#REF!</definedName>
    <definedName name="_206" localSheetId="2">#REF!</definedName>
    <definedName name="_206" localSheetId="3">#REF!</definedName>
    <definedName name="_206" localSheetId="6">#REF!</definedName>
    <definedName name="_206">#REF!</definedName>
    <definedName name="_206a" localSheetId="4">#REF!</definedName>
    <definedName name="_206a" localSheetId="5">#REF!</definedName>
    <definedName name="_206a" localSheetId="0">#REF!</definedName>
    <definedName name="_206a" localSheetId="1">#REF!</definedName>
    <definedName name="_206a" localSheetId="2">#REF!</definedName>
    <definedName name="_206a" localSheetId="3">#REF!</definedName>
    <definedName name="_206a" localSheetId="6">#REF!</definedName>
    <definedName name="_206a">#REF!</definedName>
    <definedName name="_207" localSheetId="4">#REF!</definedName>
    <definedName name="_207" localSheetId="5">#REF!</definedName>
    <definedName name="_207" localSheetId="0">#REF!</definedName>
    <definedName name="_207" localSheetId="1">#REF!</definedName>
    <definedName name="_207" localSheetId="2">#REF!</definedName>
    <definedName name="_207" localSheetId="3">#REF!</definedName>
    <definedName name="_207" localSheetId="6">#REF!</definedName>
    <definedName name="_207">#REF!</definedName>
    <definedName name="_208" localSheetId="4">#REF!</definedName>
    <definedName name="_208" localSheetId="5">#REF!</definedName>
    <definedName name="_208" localSheetId="0">#REF!</definedName>
    <definedName name="_208" localSheetId="1">#REF!</definedName>
    <definedName name="_208" localSheetId="2">#REF!</definedName>
    <definedName name="_208" localSheetId="3">#REF!</definedName>
    <definedName name="_208" localSheetId="6">#REF!</definedName>
    <definedName name="_208">#REF!</definedName>
    <definedName name="_301" localSheetId="4">#REF!</definedName>
    <definedName name="_301" localSheetId="5">#REF!</definedName>
    <definedName name="_301" localSheetId="0">#REF!</definedName>
    <definedName name="_301" localSheetId="1">#REF!</definedName>
    <definedName name="_301" localSheetId="2">#REF!</definedName>
    <definedName name="_301" localSheetId="3">#REF!</definedName>
    <definedName name="_301" localSheetId="6">#REF!</definedName>
    <definedName name="_301">#REF!</definedName>
    <definedName name="_302" localSheetId="4">#REF!</definedName>
    <definedName name="_302" localSheetId="5">#REF!</definedName>
    <definedName name="_302" localSheetId="0">#REF!</definedName>
    <definedName name="_302" localSheetId="1">#REF!</definedName>
    <definedName name="_302" localSheetId="2">#REF!</definedName>
    <definedName name="_302" localSheetId="3">#REF!</definedName>
    <definedName name="_302" localSheetId="6">#REF!</definedName>
    <definedName name="_302">#REF!</definedName>
    <definedName name="_303" localSheetId="4">#REF!</definedName>
    <definedName name="_303" localSheetId="5">#REF!</definedName>
    <definedName name="_303" localSheetId="0">#REF!</definedName>
    <definedName name="_303" localSheetId="1">#REF!</definedName>
    <definedName name="_303" localSheetId="2">#REF!</definedName>
    <definedName name="_303" localSheetId="3">#REF!</definedName>
    <definedName name="_303" localSheetId="6">#REF!</definedName>
    <definedName name="_303">#REF!</definedName>
    <definedName name="_304" localSheetId="4">#REF!</definedName>
    <definedName name="_304" localSheetId="5">#REF!</definedName>
    <definedName name="_304" localSheetId="0">#REF!</definedName>
    <definedName name="_304" localSheetId="1">#REF!</definedName>
    <definedName name="_304" localSheetId="2">#REF!</definedName>
    <definedName name="_304" localSheetId="3">#REF!</definedName>
    <definedName name="_304" localSheetId="6">#REF!</definedName>
    <definedName name="_304">#REF!</definedName>
    <definedName name="_304a" localSheetId="4">#REF!</definedName>
    <definedName name="_304a" localSheetId="5">#REF!</definedName>
    <definedName name="_304a" localSheetId="0">#REF!</definedName>
    <definedName name="_304a" localSheetId="1">#REF!</definedName>
    <definedName name="_304a" localSheetId="2">#REF!</definedName>
    <definedName name="_304a" localSheetId="3">#REF!</definedName>
    <definedName name="_304a" localSheetId="6">#REF!</definedName>
    <definedName name="_304a">#REF!</definedName>
    <definedName name="_305" localSheetId="4">#REF!</definedName>
    <definedName name="_305" localSheetId="5">#REF!</definedName>
    <definedName name="_305" localSheetId="0">#REF!</definedName>
    <definedName name="_305" localSheetId="1">#REF!</definedName>
    <definedName name="_305" localSheetId="2">#REF!</definedName>
    <definedName name="_305" localSheetId="3">#REF!</definedName>
    <definedName name="_305" localSheetId="6">#REF!</definedName>
    <definedName name="_305">#REF!</definedName>
    <definedName name="_306" localSheetId="4">#REF!</definedName>
    <definedName name="_306" localSheetId="5">#REF!</definedName>
    <definedName name="_306" localSheetId="0">#REF!</definedName>
    <definedName name="_306" localSheetId="1">#REF!</definedName>
    <definedName name="_306" localSheetId="2">#REF!</definedName>
    <definedName name="_306" localSheetId="3">#REF!</definedName>
    <definedName name="_306" localSheetId="6">#REF!</definedName>
    <definedName name="_306">#REF!</definedName>
    <definedName name="_307" localSheetId="4">#REF!</definedName>
    <definedName name="_307" localSheetId="5">#REF!</definedName>
    <definedName name="_307" localSheetId="0">#REF!</definedName>
    <definedName name="_307" localSheetId="1">#REF!</definedName>
    <definedName name="_307" localSheetId="2">#REF!</definedName>
    <definedName name="_307" localSheetId="3">#REF!</definedName>
    <definedName name="_307" localSheetId="6">#REF!</definedName>
    <definedName name="_307">#REF!</definedName>
    <definedName name="_308" localSheetId="4">#REF!</definedName>
    <definedName name="_308" localSheetId="5">#REF!</definedName>
    <definedName name="_308" localSheetId="0">#REF!</definedName>
    <definedName name="_308" localSheetId="1">#REF!</definedName>
    <definedName name="_308" localSheetId="2">#REF!</definedName>
    <definedName name="_308" localSheetId="3">#REF!</definedName>
    <definedName name="_308" localSheetId="6">#REF!</definedName>
    <definedName name="_308">#REF!</definedName>
    <definedName name="_401" localSheetId="4">#REF!</definedName>
    <definedName name="_401" localSheetId="5">#REF!</definedName>
    <definedName name="_401" localSheetId="0">#REF!</definedName>
    <definedName name="_401" localSheetId="1">#REF!</definedName>
    <definedName name="_401" localSheetId="2">#REF!</definedName>
    <definedName name="_401" localSheetId="3">#REF!</definedName>
    <definedName name="_401" localSheetId="6">#REF!</definedName>
    <definedName name="_401">#REF!</definedName>
    <definedName name="_402" localSheetId="4">#REF!</definedName>
    <definedName name="_402" localSheetId="5">#REF!</definedName>
    <definedName name="_402" localSheetId="0">#REF!</definedName>
    <definedName name="_402" localSheetId="1">#REF!</definedName>
    <definedName name="_402" localSheetId="2">#REF!</definedName>
    <definedName name="_402" localSheetId="3">#REF!</definedName>
    <definedName name="_402" localSheetId="6">#REF!</definedName>
    <definedName name="_402">#REF!</definedName>
    <definedName name="_403" localSheetId="4">#REF!</definedName>
    <definedName name="_403" localSheetId="5">#REF!</definedName>
    <definedName name="_403" localSheetId="0">#REF!</definedName>
    <definedName name="_403" localSheetId="1">#REF!</definedName>
    <definedName name="_403" localSheetId="2">#REF!</definedName>
    <definedName name="_403" localSheetId="3">#REF!</definedName>
    <definedName name="_403" localSheetId="6">#REF!</definedName>
    <definedName name="_403">#REF!</definedName>
    <definedName name="_403a" localSheetId="4">#REF!</definedName>
    <definedName name="_403a" localSheetId="5">#REF!</definedName>
    <definedName name="_403a" localSheetId="0">#REF!</definedName>
    <definedName name="_403a" localSheetId="1">#REF!</definedName>
    <definedName name="_403a" localSheetId="2">#REF!</definedName>
    <definedName name="_403a" localSheetId="3">#REF!</definedName>
    <definedName name="_403a" localSheetId="6">#REF!</definedName>
    <definedName name="_403a">#REF!</definedName>
    <definedName name="_404" localSheetId="4">#REF!</definedName>
    <definedName name="_404" localSheetId="5">#REF!</definedName>
    <definedName name="_404" localSheetId="0">#REF!</definedName>
    <definedName name="_404" localSheetId="1">#REF!</definedName>
    <definedName name="_404" localSheetId="2">#REF!</definedName>
    <definedName name="_404" localSheetId="3">#REF!</definedName>
    <definedName name="_404" localSheetId="6">#REF!</definedName>
    <definedName name="_404">#REF!</definedName>
    <definedName name="_404a" localSheetId="4">#REF!</definedName>
    <definedName name="_404a" localSheetId="5">#REF!</definedName>
    <definedName name="_404a" localSheetId="0">#REF!</definedName>
    <definedName name="_404a" localSheetId="1">#REF!</definedName>
    <definedName name="_404a" localSheetId="2">#REF!</definedName>
    <definedName name="_404a" localSheetId="3">#REF!</definedName>
    <definedName name="_404a" localSheetId="6">#REF!</definedName>
    <definedName name="_404a">#REF!</definedName>
    <definedName name="_405" localSheetId="4">#REF!</definedName>
    <definedName name="_405" localSheetId="5">#REF!</definedName>
    <definedName name="_405" localSheetId="0">#REF!</definedName>
    <definedName name="_405" localSheetId="1">#REF!</definedName>
    <definedName name="_405" localSheetId="2">#REF!</definedName>
    <definedName name="_405" localSheetId="3">#REF!</definedName>
    <definedName name="_405" localSheetId="6">#REF!</definedName>
    <definedName name="_405">#REF!</definedName>
    <definedName name="_405a" localSheetId="4">#REF!</definedName>
    <definedName name="_405a" localSheetId="5">#REF!</definedName>
    <definedName name="_405a" localSheetId="0">#REF!</definedName>
    <definedName name="_405a" localSheetId="1">#REF!</definedName>
    <definedName name="_405a" localSheetId="2">#REF!</definedName>
    <definedName name="_405a" localSheetId="3">#REF!</definedName>
    <definedName name="_405a" localSheetId="6">#REF!</definedName>
    <definedName name="_405a">#REF!</definedName>
    <definedName name="_406" localSheetId="4">#REF!</definedName>
    <definedName name="_406" localSheetId="5">#REF!</definedName>
    <definedName name="_406" localSheetId="0">#REF!</definedName>
    <definedName name="_406" localSheetId="1">#REF!</definedName>
    <definedName name="_406" localSheetId="2">#REF!</definedName>
    <definedName name="_406" localSheetId="3">#REF!</definedName>
    <definedName name="_406" localSheetId="6">#REF!</definedName>
    <definedName name="_406">#REF!</definedName>
    <definedName name="_500" localSheetId="4">#REF!</definedName>
    <definedName name="_500" localSheetId="5">#REF!</definedName>
    <definedName name="_500" localSheetId="0">#REF!</definedName>
    <definedName name="_500" localSheetId="1">#REF!</definedName>
    <definedName name="_500" localSheetId="2">#REF!</definedName>
    <definedName name="_500" localSheetId="3">#REF!</definedName>
    <definedName name="_500" localSheetId="6">#REF!</definedName>
    <definedName name="_500">#REF!</definedName>
    <definedName name="_501" localSheetId="4">#REF!</definedName>
    <definedName name="_501" localSheetId="5">#REF!</definedName>
    <definedName name="_501" localSheetId="0">#REF!</definedName>
    <definedName name="_501" localSheetId="1">#REF!</definedName>
    <definedName name="_501" localSheetId="2">#REF!</definedName>
    <definedName name="_501" localSheetId="3">#REF!</definedName>
    <definedName name="_501" localSheetId="6">#REF!</definedName>
    <definedName name="_501">#REF!</definedName>
    <definedName name="_502" localSheetId="4">#REF!</definedName>
    <definedName name="_502" localSheetId="5">#REF!</definedName>
    <definedName name="_502" localSheetId="0">#REF!</definedName>
    <definedName name="_502" localSheetId="1">#REF!</definedName>
    <definedName name="_502" localSheetId="2">#REF!</definedName>
    <definedName name="_502" localSheetId="3">#REF!</definedName>
    <definedName name="_502" localSheetId="6">#REF!</definedName>
    <definedName name="_502">#REF!</definedName>
    <definedName name="_503" localSheetId="4">#REF!</definedName>
    <definedName name="_503" localSheetId="5">#REF!</definedName>
    <definedName name="_503" localSheetId="0">#REF!</definedName>
    <definedName name="_503" localSheetId="1">#REF!</definedName>
    <definedName name="_503" localSheetId="2">#REF!</definedName>
    <definedName name="_503" localSheetId="3">#REF!</definedName>
    <definedName name="_503" localSheetId="6">#REF!</definedName>
    <definedName name="_503">#REF!</definedName>
    <definedName name="_504" localSheetId="4">#REF!</definedName>
    <definedName name="_504" localSheetId="5">#REF!</definedName>
    <definedName name="_504" localSheetId="0">#REF!</definedName>
    <definedName name="_504" localSheetId="1">#REF!</definedName>
    <definedName name="_504" localSheetId="2">#REF!</definedName>
    <definedName name="_504" localSheetId="3">#REF!</definedName>
    <definedName name="_504" localSheetId="6">#REF!</definedName>
    <definedName name="_504">#REF!</definedName>
    <definedName name="_504a" localSheetId="4">#REF!</definedName>
    <definedName name="_504a" localSheetId="5">#REF!</definedName>
    <definedName name="_504a" localSheetId="0">#REF!</definedName>
    <definedName name="_504a" localSheetId="1">#REF!</definedName>
    <definedName name="_504a" localSheetId="2">#REF!</definedName>
    <definedName name="_504a" localSheetId="3">#REF!</definedName>
    <definedName name="_504a" localSheetId="6">#REF!</definedName>
    <definedName name="_504a">#REF!</definedName>
    <definedName name="_504b" localSheetId="4">#REF!</definedName>
    <definedName name="_504b" localSheetId="5">#REF!</definedName>
    <definedName name="_504b" localSheetId="0">#REF!</definedName>
    <definedName name="_504b" localSheetId="1">#REF!</definedName>
    <definedName name="_504b" localSheetId="2">#REF!</definedName>
    <definedName name="_504b" localSheetId="3">#REF!</definedName>
    <definedName name="_504b" localSheetId="6">#REF!</definedName>
    <definedName name="_504b">#REF!</definedName>
    <definedName name="_505" localSheetId="4">#REF!</definedName>
    <definedName name="_505" localSheetId="5">#REF!</definedName>
    <definedName name="_505" localSheetId="0">#REF!</definedName>
    <definedName name="_505" localSheetId="1">#REF!</definedName>
    <definedName name="_505" localSheetId="2">#REF!</definedName>
    <definedName name="_505" localSheetId="3">#REF!</definedName>
    <definedName name="_505" localSheetId="6">#REF!</definedName>
    <definedName name="_505">#REF!</definedName>
    <definedName name="_506" localSheetId="4">#REF!</definedName>
    <definedName name="_506" localSheetId="5">#REF!</definedName>
    <definedName name="_506" localSheetId="0">#REF!</definedName>
    <definedName name="_506" localSheetId="1">#REF!</definedName>
    <definedName name="_506" localSheetId="2">#REF!</definedName>
    <definedName name="_506" localSheetId="3">#REF!</definedName>
    <definedName name="_506" localSheetId="6">#REF!</definedName>
    <definedName name="_506">#REF!</definedName>
    <definedName name="_507" localSheetId="4">#REF!</definedName>
    <definedName name="_507" localSheetId="5">#REF!</definedName>
    <definedName name="_507" localSheetId="0">#REF!</definedName>
    <definedName name="_507" localSheetId="1">#REF!</definedName>
    <definedName name="_507" localSheetId="2">#REF!</definedName>
    <definedName name="_507" localSheetId="3">#REF!</definedName>
    <definedName name="_507" localSheetId="6">#REF!</definedName>
    <definedName name="_507">#REF!</definedName>
    <definedName name="_508" localSheetId="4">#REF!</definedName>
    <definedName name="_508" localSheetId="5">#REF!</definedName>
    <definedName name="_508" localSheetId="0">#REF!</definedName>
    <definedName name="_508" localSheetId="1">#REF!</definedName>
    <definedName name="_508" localSheetId="2">#REF!</definedName>
    <definedName name="_508" localSheetId="3">#REF!</definedName>
    <definedName name="_508" localSheetId="6">#REF!</definedName>
    <definedName name="_508">#REF!</definedName>
    <definedName name="_509" localSheetId="4">#REF!</definedName>
    <definedName name="_509" localSheetId="5">#REF!</definedName>
    <definedName name="_509" localSheetId="0">#REF!</definedName>
    <definedName name="_509" localSheetId="1">#REF!</definedName>
    <definedName name="_509" localSheetId="2">#REF!</definedName>
    <definedName name="_509" localSheetId="3">#REF!</definedName>
    <definedName name="_509" localSheetId="6">#REF!</definedName>
    <definedName name="_509">#REF!</definedName>
    <definedName name="_510" localSheetId="4">#REF!</definedName>
    <definedName name="_510" localSheetId="5">#REF!</definedName>
    <definedName name="_510" localSheetId="0">#REF!</definedName>
    <definedName name="_510" localSheetId="1">#REF!</definedName>
    <definedName name="_510" localSheetId="2">#REF!</definedName>
    <definedName name="_510" localSheetId="3">#REF!</definedName>
    <definedName name="_510" localSheetId="6">#REF!</definedName>
    <definedName name="_510">#REF!</definedName>
    <definedName name="_511" localSheetId="4">#REF!</definedName>
    <definedName name="_511" localSheetId="5">#REF!</definedName>
    <definedName name="_511" localSheetId="0">#REF!</definedName>
    <definedName name="_511" localSheetId="1">#REF!</definedName>
    <definedName name="_511" localSheetId="2">#REF!</definedName>
    <definedName name="_511" localSheetId="3">#REF!</definedName>
    <definedName name="_511" localSheetId="6">#REF!</definedName>
    <definedName name="_511">#REF!</definedName>
    <definedName name="_512" localSheetId="4">#REF!</definedName>
    <definedName name="_512" localSheetId="5">#REF!</definedName>
    <definedName name="_512" localSheetId="0">#REF!</definedName>
    <definedName name="_512" localSheetId="1">#REF!</definedName>
    <definedName name="_512" localSheetId="2">#REF!</definedName>
    <definedName name="_512" localSheetId="3">#REF!</definedName>
    <definedName name="_512" localSheetId="6">#REF!</definedName>
    <definedName name="_512">#REF!</definedName>
    <definedName name="_601" localSheetId="4">#REF!</definedName>
    <definedName name="_601" localSheetId="5">#REF!</definedName>
    <definedName name="_601" localSheetId="0">#REF!</definedName>
    <definedName name="_601" localSheetId="1">#REF!</definedName>
    <definedName name="_601" localSheetId="2">#REF!</definedName>
    <definedName name="_601" localSheetId="3">#REF!</definedName>
    <definedName name="_601" localSheetId="6">#REF!</definedName>
    <definedName name="_601">#REF!</definedName>
    <definedName name="_602" localSheetId="4">#REF!</definedName>
    <definedName name="_602" localSheetId="5">#REF!</definedName>
    <definedName name="_602" localSheetId="0">#REF!</definedName>
    <definedName name="_602" localSheetId="1">#REF!</definedName>
    <definedName name="_602" localSheetId="2">#REF!</definedName>
    <definedName name="_602" localSheetId="3">#REF!</definedName>
    <definedName name="_602" localSheetId="6">#REF!</definedName>
    <definedName name="_602">#REF!</definedName>
    <definedName name="_603" localSheetId="4">#REF!</definedName>
    <definedName name="_603" localSheetId="5">#REF!</definedName>
    <definedName name="_603" localSheetId="0">#REF!</definedName>
    <definedName name="_603" localSheetId="1">#REF!</definedName>
    <definedName name="_603" localSheetId="2">#REF!</definedName>
    <definedName name="_603" localSheetId="3">#REF!</definedName>
    <definedName name="_603" localSheetId="6">#REF!</definedName>
    <definedName name="_603">#REF!</definedName>
    <definedName name="_604" localSheetId="4">#REF!</definedName>
    <definedName name="_604" localSheetId="5">#REF!</definedName>
    <definedName name="_604" localSheetId="0">#REF!</definedName>
    <definedName name="_604" localSheetId="1">#REF!</definedName>
    <definedName name="_604" localSheetId="2">#REF!</definedName>
    <definedName name="_604" localSheetId="3">#REF!</definedName>
    <definedName name="_604" localSheetId="6">#REF!</definedName>
    <definedName name="_604">#REF!</definedName>
    <definedName name="_605" localSheetId="4">#REF!</definedName>
    <definedName name="_605" localSheetId="5">#REF!</definedName>
    <definedName name="_605" localSheetId="0">#REF!</definedName>
    <definedName name="_605" localSheetId="1">#REF!</definedName>
    <definedName name="_605" localSheetId="2">#REF!</definedName>
    <definedName name="_605" localSheetId="3">#REF!</definedName>
    <definedName name="_605" localSheetId="6">#REF!</definedName>
    <definedName name="_605">#REF!</definedName>
    <definedName name="_606" localSheetId="4">#REF!</definedName>
    <definedName name="_606" localSheetId="5">#REF!</definedName>
    <definedName name="_606" localSheetId="0">#REF!</definedName>
    <definedName name="_606" localSheetId="1">#REF!</definedName>
    <definedName name="_606" localSheetId="2">#REF!</definedName>
    <definedName name="_606" localSheetId="3">#REF!</definedName>
    <definedName name="_606" localSheetId="6">#REF!</definedName>
    <definedName name="_606">#REF!</definedName>
    <definedName name="_701" localSheetId="4">#REF!</definedName>
    <definedName name="_701" localSheetId="5">#REF!</definedName>
    <definedName name="_701" localSheetId="0">#REF!</definedName>
    <definedName name="_701" localSheetId="1">#REF!</definedName>
    <definedName name="_701" localSheetId="2">#REF!</definedName>
    <definedName name="_701" localSheetId="3">#REF!</definedName>
    <definedName name="_701" localSheetId="6">#REF!</definedName>
    <definedName name="_701">#REF!</definedName>
    <definedName name="_702" localSheetId="4">#REF!</definedName>
    <definedName name="_702" localSheetId="5">#REF!</definedName>
    <definedName name="_702" localSheetId="0">#REF!</definedName>
    <definedName name="_702" localSheetId="1">#REF!</definedName>
    <definedName name="_702" localSheetId="2">#REF!</definedName>
    <definedName name="_702" localSheetId="3">#REF!</definedName>
    <definedName name="_702" localSheetId="6">#REF!</definedName>
    <definedName name="_702">#REF!</definedName>
    <definedName name="_703" localSheetId="4">#REF!</definedName>
    <definedName name="_703" localSheetId="5">#REF!</definedName>
    <definedName name="_703" localSheetId="0">#REF!</definedName>
    <definedName name="_703" localSheetId="1">#REF!</definedName>
    <definedName name="_703" localSheetId="2">#REF!</definedName>
    <definedName name="_703" localSheetId="3">#REF!</definedName>
    <definedName name="_703" localSheetId="6">#REF!</definedName>
    <definedName name="_703">#REF!</definedName>
    <definedName name="_704" localSheetId="4">#REF!</definedName>
    <definedName name="_704" localSheetId="5">#REF!</definedName>
    <definedName name="_704" localSheetId="0">#REF!</definedName>
    <definedName name="_704" localSheetId="1">#REF!</definedName>
    <definedName name="_704" localSheetId="2">#REF!</definedName>
    <definedName name="_704" localSheetId="3">#REF!</definedName>
    <definedName name="_704" localSheetId="6">#REF!</definedName>
    <definedName name="_704">#REF!</definedName>
    <definedName name="_705" localSheetId="4">#REF!</definedName>
    <definedName name="_705" localSheetId="5">#REF!</definedName>
    <definedName name="_705" localSheetId="0">#REF!</definedName>
    <definedName name="_705" localSheetId="1">#REF!</definedName>
    <definedName name="_705" localSheetId="2">#REF!</definedName>
    <definedName name="_705" localSheetId="3">#REF!</definedName>
    <definedName name="_705" localSheetId="6">#REF!</definedName>
    <definedName name="_705">#REF!</definedName>
    <definedName name="_706" localSheetId="4">#REF!</definedName>
    <definedName name="_706" localSheetId="5">#REF!</definedName>
    <definedName name="_706" localSheetId="0">#REF!</definedName>
    <definedName name="_706" localSheetId="1">#REF!</definedName>
    <definedName name="_706" localSheetId="2">#REF!</definedName>
    <definedName name="_706" localSheetId="3">#REF!</definedName>
    <definedName name="_706" localSheetId="6">#REF!</definedName>
    <definedName name="_706">#REF!</definedName>
    <definedName name="_707" localSheetId="4">#REF!</definedName>
    <definedName name="_707" localSheetId="5">#REF!</definedName>
    <definedName name="_707" localSheetId="0">#REF!</definedName>
    <definedName name="_707" localSheetId="1">#REF!</definedName>
    <definedName name="_707" localSheetId="2">#REF!</definedName>
    <definedName name="_707" localSheetId="3">#REF!</definedName>
    <definedName name="_707" localSheetId="6">#REF!</definedName>
    <definedName name="_707">#REF!</definedName>
    <definedName name="_708" localSheetId="4">#REF!</definedName>
    <definedName name="_708" localSheetId="5">#REF!</definedName>
    <definedName name="_708" localSheetId="0">#REF!</definedName>
    <definedName name="_708" localSheetId="1">#REF!</definedName>
    <definedName name="_708" localSheetId="2">#REF!</definedName>
    <definedName name="_708" localSheetId="3">#REF!</definedName>
    <definedName name="_708" localSheetId="6">#REF!</definedName>
    <definedName name="_708">#REF!</definedName>
    <definedName name="_709" localSheetId="4">#REF!</definedName>
    <definedName name="_709" localSheetId="5">#REF!</definedName>
    <definedName name="_709" localSheetId="0">#REF!</definedName>
    <definedName name="_709" localSheetId="1">#REF!</definedName>
    <definedName name="_709" localSheetId="2">#REF!</definedName>
    <definedName name="_709" localSheetId="3">#REF!</definedName>
    <definedName name="_709" localSheetId="6">#REF!</definedName>
    <definedName name="_709">#REF!</definedName>
    <definedName name="_710" localSheetId="4">#REF!</definedName>
    <definedName name="_710" localSheetId="5">#REF!</definedName>
    <definedName name="_710" localSheetId="0">#REF!</definedName>
    <definedName name="_710" localSheetId="1">#REF!</definedName>
    <definedName name="_710" localSheetId="2">#REF!</definedName>
    <definedName name="_710" localSheetId="3">#REF!</definedName>
    <definedName name="_710" localSheetId="6">#REF!</definedName>
    <definedName name="_710">#REF!</definedName>
    <definedName name="_711" localSheetId="4">#REF!</definedName>
    <definedName name="_711" localSheetId="5">#REF!</definedName>
    <definedName name="_711" localSheetId="0">#REF!</definedName>
    <definedName name="_711" localSheetId="1">#REF!</definedName>
    <definedName name="_711" localSheetId="2">#REF!</definedName>
    <definedName name="_711" localSheetId="3">#REF!</definedName>
    <definedName name="_711" localSheetId="6">#REF!</definedName>
    <definedName name="_711">#REF!</definedName>
    <definedName name="_712" localSheetId="4">#REF!</definedName>
    <definedName name="_712" localSheetId="5">#REF!</definedName>
    <definedName name="_712" localSheetId="0">#REF!</definedName>
    <definedName name="_712" localSheetId="1">#REF!</definedName>
    <definedName name="_712" localSheetId="2">#REF!</definedName>
    <definedName name="_712" localSheetId="3">#REF!</definedName>
    <definedName name="_712" localSheetId="6">#REF!</definedName>
    <definedName name="_712">#REF!</definedName>
    <definedName name="_713" localSheetId="4">#REF!</definedName>
    <definedName name="_713" localSheetId="5">#REF!</definedName>
    <definedName name="_713" localSheetId="0">#REF!</definedName>
    <definedName name="_713" localSheetId="1">#REF!</definedName>
    <definedName name="_713" localSheetId="2">#REF!</definedName>
    <definedName name="_713" localSheetId="3">#REF!</definedName>
    <definedName name="_713" localSheetId="6">#REF!</definedName>
    <definedName name="_713">#REF!</definedName>
    <definedName name="_800" localSheetId="4">#REF!</definedName>
    <definedName name="_800" localSheetId="5">#REF!</definedName>
    <definedName name="_800" localSheetId="0">#REF!</definedName>
    <definedName name="_800" localSheetId="1">#REF!</definedName>
    <definedName name="_800" localSheetId="2">#REF!</definedName>
    <definedName name="_800" localSheetId="3">#REF!</definedName>
    <definedName name="_800" localSheetId="6">#REF!</definedName>
    <definedName name="_800">#REF!</definedName>
    <definedName name="_801" localSheetId="4">#REF!</definedName>
    <definedName name="_801" localSheetId="5">#REF!</definedName>
    <definedName name="_801" localSheetId="0">#REF!</definedName>
    <definedName name="_801" localSheetId="1">#REF!</definedName>
    <definedName name="_801" localSheetId="2">#REF!</definedName>
    <definedName name="_801" localSheetId="3">#REF!</definedName>
    <definedName name="_801" localSheetId="6">#REF!</definedName>
    <definedName name="_801">#REF!</definedName>
    <definedName name="_801b" localSheetId="4">#REF!</definedName>
    <definedName name="_801b" localSheetId="5">#REF!</definedName>
    <definedName name="_801b" localSheetId="0">#REF!</definedName>
    <definedName name="_801b" localSheetId="1">#REF!</definedName>
    <definedName name="_801b" localSheetId="2">#REF!</definedName>
    <definedName name="_801b" localSheetId="3">#REF!</definedName>
    <definedName name="_801b" localSheetId="6">#REF!</definedName>
    <definedName name="_801b">#REF!</definedName>
    <definedName name="_802" localSheetId="4">#REF!</definedName>
    <definedName name="_802" localSheetId="5">#REF!</definedName>
    <definedName name="_802" localSheetId="0">#REF!</definedName>
    <definedName name="_802" localSheetId="1">#REF!</definedName>
    <definedName name="_802" localSheetId="2">#REF!</definedName>
    <definedName name="_802" localSheetId="3">#REF!</definedName>
    <definedName name="_802" localSheetId="6">#REF!</definedName>
    <definedName name="_802">#REF!</definedName>
    <definedName name="_803" localSheetId="4">#REF!</definedName>
    <definedName name="_803" localSheetId="5">#REF!</definedName>
    <definedName name="_803" localSheetId="0">#REF!</definedName>
    <definedName name="_803" localSheetId="1">#REF!</definedName>
    <definedName name="_803" localSheetId="2">#REF!</definedName>
    <definedName name="_803" localSheetId="3">#REF!</definedName>
    <definedName name="_803" localSheetId="6">#REF!</definedName>
    <definedName name="_803">#REF!</definedName>
    <definedName name="_804a" localSheetId="4">#REF!</definedName>
    <definedName name="_804a" localSheetId="5">#REF!</definedName>
    <definedName name="_804a" localSheetId="0">#REF!</definedName>
    <definedName name="_804a" localSheetId="1">#REF!</definedName>
    <definedName name="_804a" localSheetId="2">#REF!</definedName>
    <definedName name="_804a" localSheetId="3">#REF!</definedName>
    <definedName name="_804a" localSheetId="6">#REF!</definedName>
    <definedName name="_804a">#REF!</definedName>
    <definedName name="_805" localSheetId="4">#REF!</definedName>
    <definedName name="_805" localSheetId="5">#REF!</definedName>
    <definedName name="_805" localSheetId="0">#REF!</definedName>
    <definedName name="_805" localSheetId="1">#REF!</definedName>
    <definedName name="_805" localSheetId="2">#REF!</definedName>
    <definedName name="_805" localSheetId="3">#REF!</definedName>
    <definedName name="_805" localSheetId="6">#REF!</definedName>
    <definedName name="_805">#REF!</definedName>
    <definedName name="_806" localSheetId="4">#REF!</definedName>
    <definedName name="_806" localSheetId="5">#REF!</definedName>
    <definedName name="_806" localSheetId="0">#REF!</definedName>
    <definedName name="_806" localSheetId="1">#REF!</definedName>
    <definedName name="_806" localSheetId="2">#REF!</definedName>
    <definedName name="_806" localSheetId="3">#REF!</definedName>
    <definedName name="_806" localSheetId="6">#REF!</definedName>
    <definedName name="_806">#REF!</definedName>
    <definedName name="_807" localSheetId="4">#REF!</definedName>
    <definedName name="_807" localSheetId="5">#REF!</definedName>
    <definedName name="_807" localSheetId="0">#REF!</definedName>
    <definedName name="_807" localSheetId="1">#REF!</definedName>
    <definedName name="_807" localSheetId="2">#REF!</definedName>
    <definedName name="_807" localSheetId="3">#REF!</definedName>
    <definedName name="_807" localSheetId="6">#REF!</definedName>
    <definedName name="_807">#REF!</definedName>
    <definedName name="_807a" localSheetId="4">#REF!</definedName>
    <definedName name="_807a" localSheetId="5">#REF!</definedName>
    <definedName name="_807a" localSheetId="0">#REF!</definedName>
    <definedName name="_807a" localSheetId="1">#REF!</definedName>
    <definedName name="_807a" localSheetId="2">#REF!</definedName>
    <definedName name="_807a" localSheetId="3">#REF!</definedName>
    <definedName name="_807a" localSheetId="6">#REF!</definedName>
    <definedName name="_807a">#REF!</definedName>
    <definedName name="_901" localSheetId="4">#REF!</definedName>
    <definedName name="_901" localSheetId="5">#REF!</definedName>
    <definedName name="_901" localSheetId="0">#REF!</definedName>
    <definedName name="_901" localSheetId="1">#REF!</definedName>
    <definedName name="_901" localSheetId="2">#REF!</definedName>
    <definedName name="_901" localSheetId="3">#REF!</definedName>
    <definedName name="_901" localSheetId="6">#REF!</definedName>
    <definedName name="_901">#REF!</definedName>
    <definedName name="_902" localSheetId="4">#REF!</definedName>
    <definedName name="_902" localSheetId="5">#REF!</definedName>
    <definedName name="_902" localSheetId="0">#REF!</definedName>
    <definedName name="_902" localSheetId="1">#REF!</definedName>
    <definedName name="_902" localSheetId="2">#REF!</definedName>
    <definedName name="_902" localSheetId="3">#REF!</definedName>
    <definedName name="_902" localSheetId="6">#REF!</definedName>
    <definedName name="_902">#REF!</definedName>
    <definedName name="_903" localSheetId="4">#REF!</definedName>
    <definedName name="_903" localSheetId="5">#REF!</definedName>
    <definedName name="_903" localSheetId="0">#REF!</definedName>
    <definedName name="_903" localSheetId="1">#REF!</definedName>
    <definedName name="_903" localSheetId="2">#REF!</definedName>
    <definedName name="_903" localSheetId="3">#REF!</definedName>
    <definedName name="_903" localSheetId="6">#REF!</definedName>
    <definedName name="_903">#REF!</definedName>
    <definedName name="_904" localSheetId="4">#REF!</definedName>
    <definedName name="_904" localSheetId="5">#REF!</definedName>
    <definedName name="_904" localSheetId="0">#REF!</definedName>
    <definedName name="_904" localSheetId="1">#REF!</definedName>
    <definedName name="_904" localSheetId="2">#REF!</definedName>
    <definedName name="_904" localSheetId="3">#REF!</definedName>
    <definedName name="_904" localSheetId="6">#REF!</definedName>
    <definedName name="_904">#REF!</definedName>
    <definedName name="_905" localSheetId="4">#REF!</definedName>
    <definedName name="_905" localSheetId="5">#REF!</definedName>
    <definedName name="_905" localSheetId="0">#REF!</definedName>
    <definedName name="_905" localSheetId="1">#REF!</definedName>
    <definedName name="_905" localSheetId="2">#REF!</definedName>
    <definedName name="_905" localSheetId="3">#REF!</definedName>
    <definedName name="_905" localSheetId="6">#REF!</definedName>
    <definedName name="_905">#REF!</definedName>
    <definedName name="_DEM" localSheetId="4">#REF!</definedName>
    <definedName name="_DEM" localSheetId="5">#REF!</definedName>
    <definedName name="_DEM" localSheetId="0">#REF!</definedName>
    <definedName name="_DEM" localSheetId="1">#REF!</definedName>
    <definedName name="_DEM" localSheetId="2">#REF!</definedName>
    <definedName name="_DEM" localSheetId="3">#REF!</definedName>
    <definedName name="_DEM" localSheetId="6">#REF!</definedName>
    <definedName name="_DEM">#REF!</definedName>
    <definedName name="bf_ankatso">'[1]BF 5A Avaratra Ankatso'!$C$124:$D$124</definedName>
    <definedName name="bf_antanimora">'[1]BF Antanimora Ampasanimalo'!$C$126:$D$126</definedName>
    <definedName name="bf_dongona">'[1]BF 5A DONGONA'!$C$121</definedName>
    <definedName name="BPU">[2]BPU!$C$2:$L$1902</definedName>
    <definedName name="bs_antanimora">'[1]BS Antanimora Ampasanimalo'!$E$255</definedName>
    <definedName name="CC" localSheetId="4">'[3]MAIN D''OEUVRES'!$K$3</definedName>
    <definedName name="CC" localSheetId="5">'[3]MAIN D''OEUVRES'!$K$3</definedName>
    <definedName name="CC" localSheetId="0">'[3]MAIN D''OEUVRES'!$K$3</definedName>
    <definedName name="CC" localSheetId="1">'[3]MAIN D''OEUVRES'!$K$3</definedName>
    <definedName name="CC" localSheetId="2">'[3]MAIN D''OEUVRES'!$K$3</definedName>
    <definedName name="CC" localSheetId="3">'[3]MAIN D''OEUVRES'!$K$3</definedName>
    <definedName name="CC">'[4]MAIN D''OEUVRES'!$K$3</definedName>
    <definedName name="cimentcpa" localSheetId="4">'[3]PRIX MATERIAUX'!$H$28</definedName>
    <definedName name="cimentcpa" localSheetId="5">'[3]PRIX MATERIAUX'!$H$28</definedName>
    <definedName name="cimentcpa" localSheetId="0">'[3]PRIX MATERIAUX'!$H$28</definedName>
    <definedName name="cimentcpa" localSheetId="1">'[3]PRIX MATERIAUX'!$H$28</definedName>
    <definedName name="cimentcpa" localSheetId="2">'[3]PRIX MATERIAUX'!$H$28</definedName>
    <definedName name="cimentcpa" localSheetId="3">'[3]PRIX MATERIAUX'!$H$28</definedName>
    <definedName name="cimentcpa">'[4]PRIX MATERIAUX'!$H$28</definedName>
    <definedName name="eau" localSheetId="4">'[3]PRIX MATERIAUX'!$C$4</definedName>
    <definedName name="eau" localSheetId="5">'[3]PRIX MATERIAUX'!$C$4</definedName>
    <definedName name="eau" localSheetId="0">'[3]PRIX MATERIAUX'!$C$4</definedName>
    <definedName name="eau" localSheetId="1">'[3]PRIX MATERIAUX'!$C$4</definedName>
    <definedName name="eau" localSheetId="2">'[3]PRIX MATERIAUX'!$C$4</definedName>
    <definedName name="eau" localSheetId="3">'[3]PRIX MATERIAUX'!$C$4</definedName>
    <definedName name="eau">'[4]PRIX MATERIAUX'!$C$4</definedName>
    <definedName name="faîtière" localSheetId="4">#REF!</definedName>
    <definedName name="faîtière" localSheetId="5">#REF!</definedName>
    <definedName name="faîtière" localSheetId="0">#REF!</definedName>
    <definedName name="faîtière" localSheetId="1">#REF!</definedName>
    <definedName name="faîtière" localSheetId="2">#REF!</definedName>
    <definedName name="faîtière" localSheetId="3">#REF!</definedName>
    <definedName name="faîtière" localSheetId="6">#REF!</definedName>
    <definedName name="faîtière">#REF!</definedName>
    <definedName name="grav1525" localSheetId="4">'[3]PRIX MATERIAUX'!$H$18</definedName>
    <definedName name="grav1525" localSheetId="5">'[3]PRIX MATERIAUX'!$H$18</definedName>
    <definedName name="grav1525" localSheetId="0">'[3]PRIX MATERIAUX'!$H$18</definedName>
    <definedName name="grav1525" localSheetId="1">'[3]PRIX MATERIAUX'!$H$18</definedName>
    <definedName name="grav1525" localSheetId="2">'[3]PRIX MATERIAUX'!$H$18</definedName>
    <definedName name="grav1525" localSheetId="3">'[3]PRIX MATERIAUX'!$H$18</definedName>
    <definedName name="grav1525">'[4]PRIX MATERIAUX'!$H$18</definedName>
    <definedName name="grav515" localSheetId="4">'[3]PRIX MATERIAUX'!$H$16</definedName>
    <definedName name="grav515" localSheetId="5">'[3]PRIX MATERIAUX'!$H$16</definedName>
    <definedName name="grav515" localSheetId="0">'[3]PRIX MATERIAUX'!$H$16</definedName>
    <definedName name="grav515" localSheetId="1">'[3]PRIX MATERIAUX'!$H$16</definedName>
    <definedName name="grav515" localSheetId="2">'[3]PRIX MATERIAUX'!$H$16</definedName>
    <definedName name="grav515" localSheetId="3">'[3]PRIX MATERIAUX'!$H$16</definedName>
    <definedName name="grav515">'[4]PRIX MATERIAUX'!$H$16</definedName>
    <definedName name="ll" localSheetId="4">#REF!</definedName>
    <definedName name="ll" localSheetId="5">#REF!</definedName>
    <definedName name="ll" localSheetId="0">#REF!</definedName>
    <definedName name="ll" localSheetId="1">#REF!</definedName>
    <definedName name="ll" localSheetId="2">#REF!</definedName>
    <definedName name="ll" localSheetId="3">#REF!</definedName>
    <definedName name="ll" localSheetId="6">#REF!</definedName>
    <definedName name="ll">#REF!</definedName>
    <definedName name="MC" localSheetId="4">'[3]MAIN D''OEUVRES'!$K$6</definedName>
    <definedName name="MC" localSheetId="5">'[3]MAIN D''OEUVRES'!$K$6</definedName>
    <definedName name="MC" localSheetId="0">'[3]MAIN D''OEUVRES'!$K$6</definedName>
    <definedName name="MC" localSheetId="1">'[3]MAIN D''OEUVRES'!$K$6</definedName>
    <definedName name="MC" localSheetId="2">'[3]MAIN D''OEUVRES'!$K$6</definedName>
    <definedName name="MC" localSheetId="3">'[3]MAIN D''OEUVRES'!$K$6</definedName>
    <definedName name="MC">'[4]MAIN D''OEUVRES'!$K$6</definedName>
    <definedName name="MO" localSheetId="4">'[3]MAIN D''OEUVRES'!$K$5</definedName>
    <definedName name="MO" localSheetId="5">'[3]MAIN D''OEUVRES'!$K$5</definedName>
    <definedName name="MO" localSheetId="0">'[3]MAIN D''OEUVRES'!$K$5</definedName>
    <definedName name="MO" localSheetId="1">'[3]MAIN D''OEUVRES'!$K$5</definedName>
    <definedName name="MO" localSheetId="2">'[3]MAIN D''OEUVRES'!$K$5</definedName>
    <definedName name="MO" localSheetId="3">'[3]MAIN D''OEUVRES'!$K$5</definedName>
    <definedName name="MO">'[4]MAIN D''OEUVRES'!$K$5</definedName>
    <definedName name="moellon" localSheetId="4">#REF!</definedName>
    <definedName name="moellon" localSheetId="5">#REF!</definedName>
    <definedName name="moellon" localSheetId="0">#REF!</definedName>
    <definedName name="moellon" localSheetId="1">#REF!</definedName>
    <definedName name="moellon" localSheetId="2">#REF!</definedName>
    <definedName name="moellon" localSheetId="3">#REF!</definedName>
    <definedName name="moellon" localSheetId="6">#REF!</definedName>
    <definedName name="moellon">#REF!</definedName>
    <definedName name="OV" localSheetId="4">'[3]MAIN D''OEUVRES'!$K$4</definedName>
    <definedName name="OV" localSheetId="5">'[3]MAIN D''OEUVRES'!$K$4</definedName>
    <definedName name="OV" localSheetId="0">'[3]MAIN D''OEUVRES'!$K$4</definedName>
    <definedName name="OV" localSheetId="1">'[3]MAIN D''OEUVRES'!$K$4</definedName>
    <definedName name="OV" localSheetId="2">'[3]MAIN D''OEUVRES'!$K$4</definedName>
    <definedName name="OV" localSheetId="3">'[3]MAIN D''OEUVRES'!$K$4</definedName>
    <definedName name="OV">'[4]MAIN D''OEUVRES'!$K$4</definedName>
    <definedName name="PU">[5]BPU2021!$B$1:$I$1526</definedName>
    <definedName name="sable" localSheetId="4">'[3]PRIX MATERIAUX'!$H$14</definedName>
    <definedName name="sable" localSheetId="5">'[3]PRIX MATERIAUX'!$H$14</definedName>
    <definedName name="sable" localSheetId="0">'[3]PRIX MATERIAUX'!$H$14</definedName>
    <definedName name="sable" localSheetId="1">'[3]PRIX MATERIAUX'!$H$14</definedName>
    <definedName name="sable" localSheetId="2">'[3]PRIX MATERIAUX'!$H$14</definedName>
    <definedName name="sable" localSheetId="3">'[3]PRIX MATERIAUX'!$H$14</definedName>
    <definedName name="sable">'[4]PRIX MATERIAUX'!$H$14</definedName>
    <definedName name="tuyau_galva" localSheetId="4">#REF!</definedName>
    <definedName name="tuyau_galva" localSheetId="5">#REF!</definedName>
    <definedName name="tuyau_galva" localSheetId="0">#REF!</definedName>
    <definedName name="tuyau_galva" localSheetId="1">#REF!</definedName>
    <definedName name="tuyau_galva" localSheetId="2">#REF!</definedName>
    <definedName name="tuyau_galva" localSheetId="3">#REF!</definedName>
    <definedName name="tuyau_galva" localSheetId="6">#REF!</definedName>
    <definedName name="tuyau_galv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87" authorId="0" shapeId="0" xr:uid="{AFB3EDD2-861D-484F-BD63-97D113CE02CB}">
      <text>
        <r>
          <rPr>
            <b/>
            <sz val="9"/>
            <color indexed="81"/>
            <rFont val="Tahoma"/>
            <charset val="1"/>
          </rPr>
          <t>MSI:</t>
        </r>
        <r>
          <rPr>
            <sz val="9"/>
            <color indexed="81"/>
            <rFont val="Tahoma"/>
            <charset val="1"/>
          </rPr>
          <t xml:space="preserve">
Montant en lettres selon le total général HT arrondi en C85.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78" authorId="0" shapeId="0" xr:uid="{A33FC9B4-8D62-4DEE-B206-3D0B3F859C74}">
      <text>
        <r>
          <rPr>
            <b/>
            <sz val="9"/>
            <color indexed="81"/>
            <rFont val="Tahoma"/>
            <charset val="1"/>
          </rPr>
          <t>MSI:</t>
        </r>
        <r>
          <rPr>
            <sz val="9"/>
            <color indexed="81"/>
            <rFont val="Tahoma"/>
            <charset val="1"/>
          </rPr>
          <t xml:space="preserve">
Montant en lettres selon le total général HT arrondi en C76.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78" authorId="0" shapeId="0" xr:uid="{671CE5E4-BAE2-4E8C-BB5C-4B8F54F65AEF}">
      <text>
        <r>
          <rPr>
            <b/>
            <sz val="9"/>
            <color indexed="81"/>
            <rFont val="Tahoma"/>
            <charset val="1"/>
          </rPr>
          <t>MSI:</t>
        </r>
        <r>
          <rPr>
            <sz val="9"/>
            <color indexed="81"/>
            <rFont val="Tahoma"/>
            <charset val="1"/>
          </rPr>
          <t xml:space="preserve">
Montant en lettres selon le total général HT arrondi en C76.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80" authorId="0" shapeId="0" xr:uid="{0275FF81-1ED0-4791-9DE1-A869EF0BC0F3}">
      <text>
        <r>
          <rPr>
            <b/>
            <sz val="9"/>
            <color indexed="81"/>
            <rFont val="Tahoma"/>
            <charset val="1"/>
          </rPr>
          <t>MSI:</t>
        </r>
        <r>
          <rPr>
            <sz val="9"/>
            <color indexed="81"/>
            <rFont val="Tahoma"/>
            <charset val="1"/>
          </rPr>
          <t xml:space="preserve">
Montant en lettres selon le total général HT arrondi en C78.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16" authorId="0" shapeId="0" xr:uid="{58C4BF7B-6684-4DF0-8531-54E85C338EB2}">
      <text>
        <r>
          <rPr>
            <b/>
            <sz val="9"/>
            <color indexed="81"/>
            <rFont val="Tahoma"/>
            <charset val="1"/>
          </rPr>
          <t>MSI:</t>
        </r>
        <r>
          <rPr>
            <sz val="9"/>
            <color indexed="81"/>
            <rFont val="Tahoma"/>
            <charset val="1"/>
          </rPr>
          <t xml:space="preserve">
Montant en lettres selon le total HT arrondi en F14.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77" authorId="0" shapeId="0" xr:uid="{37C3774D-47CA-4317-A4E3-FE0B26C0BCC4}">
      <text>
        <r>
          <rPr>
            <b/>
            <sz val="9"/>
            <color indexed="81"/>
            <rFont val="Tahoma"/>
            <charset val="1"/>
          </rPr>
          <t>MSI:</t>
        </r>
        <r>
          <rPr>
            <sz val="9"/>
            <color indexed="81"/>
            <rFont val="Tahoma"/>
            <charset val="1"/>
          </rPr>
          <t xml:space="preserve">
Montant en lettres selon le total général HT arrondi en C75.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A12" authorId="0" shapeId="0" xr:uid="{66516F79-7644-4CDB-976C-3899560B5C95}">
      <text>
        <r>
          <rPr>
            <b/>
            <sz val="9"/>
            <color indexed="81"/>
            <rFont val="Tahoma"/>
            <charset val="1"/>
          </rPr>
          <t>Montant en lettres mis à jour selon le total arrondi en RECAP!E11.</t>
        </r>
      </text>
    </comment>
  </commentList>
</comments>
</file>

<file path=xl/sharedStrings.xml><?xml version="1.0" encoding="utf-8"?>
<sst xmlns="http://schemas.openxmlformats.org/spreadsheetml/2006/main" count="966" uniqueCount="196">
  <si>
    <t>N°</t>
  </si>
  <si>
    <t>DESIGNATIONS</t>
  </si>
  <si>
    <t>U</t>
  </si>
  <si>
    <t>QTE ECAE</t>
  </si>
  <si>
    <t>PU</t>
  </si>
  <si>
    <t>P.HT</t>
  </si>
  <si>
    <t>INSTALLATION ET REPLI DE CHANTIER</t>
  </si>
  <si>
    <t>1.1</t>
  </si>
  <si>
    <r>
      <rPr>
        <sz val="11"/>
        <rFont val="Blogger Sans Light"/>
      </rPr>
      <t>Installation et repli de chantier</t>
    </r>
  </si>
  <si>
    <r>
      <rPr>
        <sz val="11"/>
        <rFont val="Blogger Sans Light"/>
      </rPr>
      <t>Fft</t>
    </r>
  </si>
  <si>
    <t>1.2</t>
  </si>
  <si>
    <r>
      <rPr>
        <sz val="11"/>
        <rFont val="Blogger Sans Light"/>
      </rPr>
      <t>Transport des matériaux</t>
    </r>
  </si>
  <si>
    <t xml:space="preserve">TOTAL INSTALLATION ET REPLI DE CHANTIER </t>
  </si>
  <si>
    <t>OUVRAGES EN INFRASTRUCTURE</t>
  </si>
  <si>
    <r>
      <t xml:space="preserve">Mise en œuvre de </t>
    </r>
    <r>
      <rPr>
        <b/>
        <sz val="11"/>
        <rFont val="Blogger Sans Light"/>
      </rPr>
      <t>chape d'ép 4cm bouchardée</t>
    </r>
    <r>
      <rPr>
        <sz val="11"/>
        <rFont val="Blogger Sans Light"/>
      </rPr>
      <t xml:space="preserve"> au mortier dosée 400 kg, y compris toutes sujétions de mise en œuvre.
</t>
    </r>
    <r>
      <rPr>
        <i/>
        <u/>
        <sz val="11"/>
        <rFont val="Blogger Sans Light"/>
      </rPr>
      <t>Concerne</t>
    </r>
    <r>
      <rPr>
        <i/>
        <sz val="11"/>
        <rFont val="Blogger Sans Light"/>
      </rPr>
      <t xml:space="preserve"> : Dallage</t>
    </r>
  </si>
  <si>
    <t>m²</t>
  </si>
  <si>
    <t>TOTAL OUVRAGES EN INFRASTRUCTURE</t>
  </si>
  <si>
    <t>OUVRAGES EN SUPERSTRUCTURE</t>
  </si>
  <si>
    <t>3.1</t>
  </si>
  <si>
    <r>
      <t>Mise en œuvre de béton dosé à 350 kg  y compris toutes
sujétions.</t>
    </r>
    <r>
      <rPr>
        <i/>
        <u/>
        <sz val="11"/>
        <rFont val="Blogger Sans Light"/>
      </rPr>
      <t/>
    </r>
  </si>
  <si>
    <r>
      <rPr>
        <sz val="11"/>
        <rFont val="Blogger Sans Light"/>
      </rPr>
      <t>m3</t>
    </r>
  </si>
  <si>
    <t>3.2</t>
  </si>
  <si>
    <r>
      <t>Fourniture et pose des armatures de tous diamètres, y compris
coupe, façonnage, ligature et toutes sujétions de mise en
œuvre.</t>
    </r>
    <r>
      <rPr>
        <i/>
        <u/>
        <sz val="11"/>
        <rFont val="Blogger Sans Light"/>
      </rPr>
      <t/>
    </r>
  </si>
  <si>
    <r>
      <rPr>
        <sz val="11"/>
        <rFont val="Blogger Sans Light"/>
      </rPr>
      <t>kg</t>
    </r>
  </si>
  <si>
    <t>3.3</t>
  </si>
  <si>
    <r>
      <t>Fourniture et pose de coffrage en bois ordinaire du pays, y
compris toutes sujétions de mise en œuvre.</t>
    </r>
    <r>
      <rPr>
        <i/>
        <u/>
        <sz val="11"/>
        <rFont val="Blogger Sans Light"/>
      </rPr>
      <t/>
    </r>
  </si>
  <si>
    <r>
      <rPr>
        <sz val="11"/>
        <rFont val="Blogger Sans Light"/>
      </rPr>
      <t>m2</t>
    </r>
  </si>
  <si>
    <t>TOTAL OUVRAGES EN SUPERSTRUCTURE</t>
  </si>
  <si>
    <t>MACONNERIES ET RAVALEMENT</t>
  </si>
  <si>
    <r>
      <rPr>
        <sz val="11"/>
        <rFont val="Blogger Sans Light"/>
      </rPr>
      <t xml:space="preserve">Mise en œuvre d'enduit dosé au mortier dosé à 350 kg y
compris toutes sujétions
</t>
    </r>
    <r>
      <rPr>
        <i/>
        <u/>
        <sz val="11"/>
        <color rgb="FF000000"/>
        <rFont val="Blogger Sans Light"/>
      </rPr>
      <t>Concerne</t>
    </r>
    <r>
      <rPr>
        <i/>
        <sz val="11"/>
        <color rgb="FF000000"/>
        <rFont val="Blogger Sans Light"/>
      </rPr>
      <t xml:space="preserve"> : Ravalement</t>
    </r>
  </si>
  <si>
    <t>m2</t>
  </si>
  <si>
    <t>TOTAL MACONNERIES ET RAVALEMENT</t>
  </si>
  <si>
    <t>CHARPENTE - COUVERTURE - PLAFONNAGE</t>
  </si>
  <si>
    <t>5.1</t>
  </si>
  <si>
    <r>
      <t xml:space="preserve">Fourniture et pose de couverture en TOG 50/100ème y compris toutes sujétions.
</t>
    </r>
    <r>
      <rPr>
        <i/>
        <u/>
        <sz val="11"/>
        <rFont val="Blogger Sans Light"/>
      </rPr>
      <t>Concerne</t>
    </r>
    <r>
      <rPr>
        <i/>
        <sz val="11"/>
        <rFont val="Blogger Sans Light"/>
      </rPr>
      <t xml:space="preserve"> : Toiture</t>
    </r>
  </si>
  <si>
    <t>5.2</t>
  </si>
  <si>
    <t>ml</t>
  </si>
  <si>
    <t>5.3</t>
  </si>
  <si>
    <t>5.4</t>
  </si>
  <si>
    <r>
      <t xml:space="preserve">Fourniture et pose de tissus thermo réflecteur sous toiture y compris fourure placo F53 pour tendeur et couvre joint du film
</t>
    </r>
    <r>
      <rPr>
        <i/>
        <u/>
        <sz val="11"/>
        <rFont val="Blogger Sans Light"/>
      </rPr>
      <t>Concerne</t>
    </r>
    <r>
      <rPr>
        <i/>
        <sz val="11"/>
        <rFont val="Blogger Sans Light"/>
      </rPr>
      <t xml:space="preserve"> : Toiture</t>
    </r>
  </si>
  <si>
    <t>TOTAL CHARPENTE - COUVERTURE - PLAFONNAGE</t>
  </si>
  <si>
    <t>PEINTURE</t>
  </si>
  <si>
    <t>Enduit de peintre bessier</t>
  </si>
  <si>
    <t>Peinture acrylique intérieure en deux couches</t>
  </si>
  <si>
    <t>Peinture acrylique extérieure en deux couches</t>
  </si>
  <si>
    <t>TOTAL PEINTURE</t>
  </si>
  <si>
    <t>MENUISERIE ET VITRERIES</t>
  </si>
  <si>
    <t>TOTAL MENUISERIE ET VITRERIES</t>
  </si>
  <si>
    <t>Le Soummisssionnaire</t>
  </si>
  <si>
    <t>u</t>
  </si>
  <si>
    <t>2.1</t>
  </si>
  <si>
    <t>2.2</t>
  </si>
  <si>
    <t>2.3</t>
  </si>
  <si>
    <r>
      <t xml:space="preserve">Mise en œuvre de béton dosé à 250 kg  ép. 8cm y compris
toutes sujétions.
</t>
    </r>
    <r>
      <rPr>
        <i/>
        <u/>
        <sz val="11"/>
        <rFont val="Blogger Sans Light"/>
      </rPr>
      <t>Concerne</t>
    </r>
    <r>
      <rPr>
        <i/>
        <sz val="11"/>
        <rFont val="Blogger Sans Light"/>
      </rPr>
      <t xml:space="preserve"> : Béton de forme</t>
    </r>
  </si>
  <si>
    <r>
      <t xml:space="preserve">Mise en œuvre hérissonne y compris toutes sujétions de mise en œuvre.
</t>
    </r>
    <r>
      <rPr>
        <i/>
        <u/>
        <sz val="11"/>
        <rFont val="Blogger Sans Light"/>
      </rPr>
      <t xml:space="preserve">Concerne </t>
    </r>
    <r>
      <rPr>
        <i/>
        <sz val="11"/>
        <rFont val="Blogger Sans Light"/>
      </rPr>
      <t>: Dallage</t>
    </r>
  </si>
  <si>
    <t>6.1</t>
  </si>
  <si>
    <t>6.2</t>
  </si>
  <si>
    <t>6.3</t>
  </si>
  <si>
    <t>6.4</t>
  </si>
  <si>
    <t>7.1</t>
  </si>
  <si>
    <t>7.2</t>
  </si>
  <si>
    <t>4.1</t>
  </si>
  <si>
    <t>4.2</t>
  </si>
  <si>
    <t>4.3</t>
  </si>
  <si>
    <t>fft</t>
  </si>
  <si>
    <r>
      <t xml:space="preserve">Mise en œuvre de béton de propreté dosé à 150 kg de 0,05 m
d'épaisseur y compris toutes sujétions.
</t>
    </r>
    <r>
      <rPr>
        <i/>
        <u/>
        <sz val="11"/>
        <rFont val="Blogger Sans Light"/>
      </rPr>
      <t>Concerne</t>
    </r>
    <r>
      <rPr>
        <i/>
        <sz val="11"/>
        <rFont val="Blogger Sans Light"/>
      </rPr>
      <t xml:space="preserve"> : Béton de propreté</t>
    </r>
  </si>
  <si>
    <r>
      <t xml:space="preserve">Mise en œuvre de maçonnerie de moellon y compris toutes sujétions de mise en œuvre.
</t>
    </r>
    <r>
      <rPr>
        <i/>
        <u/>
        <sz val="11"/>
        <rFont val="Blogger Sans Light"/>
      </rPr>
      <t xml:space="preserve">Concerne </t>
    </r>
    <r>
      <rPr>
        <i/>
        <sz val="11"/>
        <rFont val="Blogger Sans Light"/>
      </rPr>
      <t>: Fondation</t>
    </r>
  </si>
  <si>
    <t>2.4</t>
  </si>
  <si>
    <t>DESIGNATION</t>
  </si>
  <si>
    <t>NOMBRE</t>
  </si>
  <si>
    <t>PRIX UNITAIRE</t>
  </si>
  <si>
    <t>MONTANT</t>
  </si>
  <si>
    <t>TOTAL EN ARIARY TTC</t>
  </si>
  <si>
    <t>Le Responsable</t>
  </si>
  <si>
    <t>3.4</t>
  </si>
  <si>
    <t>Fourniture et pose DEP diam100</t>
  </si>
  <si>
    <t>3.5</t>
  </si>
  <si>
    <t>Fourniture et pose de charpentes métalliques en panne C 100 y
compris toutes sujétions de mise en œuvre</t>
  </si>
  <si>
    <t>REVETEMENT</t>
  </si>
  <si>
    <t>TOTAL REVETEMENT</t>
  </si>
  <si>
    <t>7.3</t>
  </si>
  <si>
    <t>7.4</t>
  </si>
  <si>
    <t>8.1</t>
  </si>
  <si>
    <t>8.2</t>
  </si>
  <si>
    <t>8.3</t>
  </si>
  <si>
    <t>m3</t>
  </si>
  <si>
    <t>Fourniture et pose de grille de protection</t>
  </si>
  <si>
    <t>TERRASSEMENT</t>
  </si>
  <si>
    <t>TOTAL TERRASSEMENT</t>
  </si>
  <si>
    <t>3.6</t>
  </si>
  <si>
    <t>3.7</t>
  </si>
  <si>
    <t>3.8</t>
  </si>
  <si>
    <t>ELECTRICITE</t>
  </si>
  <si>
    <t>Fourniture et pose de points lumineux type réglettes LED 120 cm</t>
  </si>
  <si>
    <t>Interrupteur va-et-vient encastré blanc 10A (Legrand ou équivalent)</t>
  </si>
  <si>
    <t>Prise de terre 2P+T étanche ou murale 16A</t>
  </si>
  <si>
    <t>TOTAL ELECTRICITE</t>
  </si>
  <si>
    <t>9.1</t>
  </si>
  <si>
    <t>9.2</t>
  </si>
  <si>
    <t>9.3</t>
  </si>
  <si>
    <t>9.4</t>
  </si>
  <si>
    <t>10.1</t>
  </si>
  <si>
    <t>TOTAL INSTALLATION SANITAIRE</t>
  </si>
  <si>
    <t>11.1</t>
  </si>
  <si>
    <t>11.3</t>
  </si>
  <si>
    <t>9.5</t>
  </si>
  <si>
    <t>Câble électrique rigide RO2V 2.5mm² (pour prises)</t>
  </si>
  <si>
    <t>9.6</t>
  </si>
  <si>
    <t>Gaine ICTA annelée tire-fils Ø20-25mm (pour encastrement des câbles)</t>
  </si>
  <si>
    <t>9.7</t>
  </si>
  <si>
    <t>Fourniture et pose tuyau PVC pour évacuation, y compris accessoires
de raccordement φ21</t>
  </si>
  <si>
    <t>Puisard absorbant pour fosse et eaux usées</t>
  </si>
  <si>
    <t>BLOC SANITAIRE</t>
  </si>
  <si>
    <t>NOUVELLE CONSTRUCTION</t>
  </si>
  <si>
    <t>TRAVAUX DE CONSTRUCTION</t>
  </si>
  <si>
    <t>NOUVELLE CONSTRUCTION (près du château d’eau)</t>
  </si>
  <si>
    <r>
      <t>Remblai d'emprunt y compris nivellement, compactage et toutes sujétions.</t>
    </r>
    <r>
      <rPr>
        <i/>
        <u/>
        <sz val="11"/>
        <rFont val="Blogger Sans Light"/>
      </rPr>
      <t/>
    </r>
  </si>
  <si>
    <t>Evacuations des terres et débris excédentaires</t>
  </si>
  <si>
    <t>Châssis métalliques 0,9x1m</t>
  </si>
  <si>
    <t>Câble électrique rigide RO2V 1.5mm² (pour éclairage)</t>
  </si>
  <si>
    <t xml:space="preserve">TOTAL HT </t>
  </si>
  <si>
    <t>Fouille en rigole en terrain meuble jusqu'à 0,50m pour fondation</t>
  </si>
  <si>
    <r>
      <t xml:space="preserve">Mise en œuvre de béton dosé à 250 kg  ép. 10cm y compris
toutes sujétions.
</t>
    </r>
    <r>
      <rPr>
        <i/>
        <u/>
        <sz val="11"/>
        <rFont val="Blogger Sans Light"/>
      </rPr>
      <t>Concerne</t>
    </r>
    <r>
      <rPr>
        <i/>
        <sz val="11"/>
        <rFont val="Blogger Sans Light"/>
      </rPr>
      <t xml:space="preserve"> : Béton de forme</t>
    </r>
  </si>
  <si>
    <t>TRAVAUX DE REHABILITATION</t>
  </si>
  <si>
    <t>BATIMENT B</t>
  </si>
  <si>
    <t>BATIMENT C</t>
  </si>
  <si>
    <t/>
  </si>
  <si>
    <r>
      <t xml:space="preserve">Peinture glycérophtalique en deux couches 
</t>
    </r>
    <r>
      <rPr>
        <u/>
        <sz val="11"/>
        <rFont val="Blogger Sans Light"/>
      </rPr>
      <t/>
    </r>
  </si>
  <si>
    <t>BLOC SANITAIRE A 6 COMPARTIMENTS</t>
  </si>
  <si>
    <t>Débroussaillage, évacuations des terres et débris excédentaires</t>
  </si>
  <si>
    <t>Fourniture et pose de gouttiere en PVC</t>
  </si>
  <si>
    <t>Fourniture et pose de points lumineux type ampoule led</t>
  </si>
  <si>
    <t>Kit Douche</t>
  </si>
  <si>
    <t>11.2</t>
  </si>
  <si>
    <t>11.4</t>
  </si>
  <si>
    <t>11.5</t>
  </si>
  <si>
    <t xml:space="preserve">Remise en état de la fosse septique </t>
  </si>
  <si>
    <t>INSTALLATION SANITAIRE ET ASSAINISSEMENT</t>
  </si>
  <si>
    <r>
      <t xml:space="preserve">Fourniture et pose de carrelage (sol, paroi de douche)                                                                                          </t>
    </r>
    <r>
      <rPr>
        <u/>
        <sz val="11"/>
        <rFont val="Blogger Sans Light"/>
      </rPr>
      <t/>
    </r>
  </si>
  <si>
    <t>Fourniture et pose de cuvette WC à la turc y compris raccordement en tuyau PVC rigide de diamètre 100</t>
  </si>
  <si>
    <t>8.4</t>
  </si>
  <si>
    <t>8.5</t>
  </si>
  <si>
    <t>8.6</t>
  </si>
  <si>
    <t>8.7</t>
  </si>
  <si>
    <r>
      <t xml:space="preserve">Mise en œuvre de béton dosé à 350 kg  y compris toutes
sujétions.                                                                                                                          </t>
    </r>
    <r>
      <rPr>
        <u/>
        <sz val="11"/>
        <rFont val="Blogger Sans Light"/>
      </rPr>
      <t>Concerne :</t>
    </r>
    <r>
      <rPr>
        <sz val="11"/>
        <rFont val="Blogger Sans Light"/>
      </rPr>
      <t xml:space="preserve"> Chainage/Poutre</t>
    </r>
  </si>
  <si>
    <t>LOCAL TECHNIQUE ET ELECTRIFICATION GENERALE DE LA ZONE</t>
  </si>
  <si>
    <t>Porte métallique persienne dim. 0,7x1,95m</t>
  </si>
  <si>
    <t>Tableau divisionnaire TD équipé de disjoncteur</t>
  </si>
  <si>
    <t xml:space="preserve">Câble électrique rigide RO2V 4mm² </t>
  </si>
  <si>
    <t xml:space="preserve">LOCAL TECHNIQUE ET ELECTRIFICATION </t>
  </si>
  <si>
    <t>Gaine annelée rouge TPC - Ø 40mm</t>
  </si>
  <si>
    <t>Châssis vitrée 0,9x1m</t>
  </si>
  <si>
    <t>Applique acier nickel mat PASSA GU10 2X3w h170</t>
  </si>
  <si>
    <t>9.8</t>
  </si>
  <si>
    <t>Interrupteur blanc 10A (Legrand ou équivalent)</t>
  </si>
  <si>
    <t>Interrupteur  blanc 10A (Legrand ou équivalent)</t>
  </si>
  <si>
    <t>RECAPITULATIF DES TRAVAUX DE REHABILITATION ET DE CONSTRUCTION A MANGATSA</t>
  </si>
  <si>
    <t>Peinture sol</t>
  </si>
  <si>
    <t>Enduit de peintre beissier</t>
  </si>
  <si>
    <t>RÉCAPITULATIF</t>
  </si>
  <si>
    <t>DÉSIGNATION</t>
  </si>
  <si>
    <t>OUVRAGES EN INFRASTRUCTURE</t>
  </si>
  <si>
    <t>OUVRAGES EN SUPERSTRUCTURE</t>
  </si>
  <si>
    <t>CHARPENTE - COUVERTURE - PLAFONNAGE</t>
  </si>
  <si>
    <t>MACONNERIES ET RAVALEMENT</t>
  </si>
  <si>
    <t>MENUISERIE ET VITRERIES</t>
  </si>
  <si>
    <t>TOTAL GÉNÉRAL HT</t>
  </si>
  <si>
    <t>Mise en œuvre garde-corps en bois naturel de qualité (forme croix) y compris fourniture et pose</t>
  </si>
  <si>
    <t>BATIMENT A (avec extension toilette/douche et cuisine)</t>
  </si>
  <si>
    <t>INSTALLATION SANITAIRE ET CUISINE (Extension)</t>
  </si>
  <si>
    <t>Fourniture et pose d'évier en inox avec robinetterie complète</t>
  </si>
  <si>
    <t>Fourniture et pose de WC à l'anglaise complet avec réservoir</t>
  </si>
  <si>
    <t>Fourniture et pose de lavabo avec robinetterie</t>
  </si>
  <si>
    <t>Fourniture et pose de receveur douche avec robinetterie</t>
  </si>
  <si>
    <t>Plan de travail cuisine en béton armé dosé à 350 kg</t>
  </si>
  <si>
    <t>Tuyauterie PVC évacuation et alimentation y compris raccords</t>
  </si>
  <si>
    <t>INSTALLATION SANITAIRE ET CUISINE</t>
  </si>
  <si>
    <t>10.2</t>
  </si>
  <si>
    <t>10.3</t>
  </si>
  <si>
    <t>10.4</t>
  </si>
  <si>
    <t>10.5</t>
  </si>
  <si>
    <t>10.6</t>
  </si>
  <si>
    <t>M3</t>
  </si>
  <si>
    <t>Porte métallique semi persienne dim. 0,9x2,10m</t>
  </si>
  <si>
    <t>Porte métallique pleine dim. 0,9x2,10m</t>
  </si>
  <si>
    <t>Mise en œuvre d'un enduit décoratif au mortier, rainuré et tracé régulièrement en appareillage de briques, avec peinture de finition adaptée, y compris préparation du support et toutes sujétions.</t>
  </si>
  <si>
    <t>Porte métallique pleine dim. 0,9x2m</t>
  </si>
  <si>
    <t>Mise en œuvres de maçonnerie de PARPAING D15 hourdés au mortier dosé à 300kg, y compris toutes sujétions.</t>
  </si>
  <si>
    <t>Mise en œuvres de maçonnerie de BRIQUE D15 hourdés au mortier dosé à 300kg, y compris toutes sujétions.</t>
  </si>
  <si>
    <t>Arrêté le présent devis à la somme de: "Six millions cinquante mille Ariary"</t>
  </si>
  <si>
    <t>Arrêté le présent devis à la somme de: "Trois cent quarante sept millions cent vingt quatre mille sept cent soixante dix huit Ariary"</t>
  </si>
  <si>
    <t>Arrêté le présent devis à la somme de: "Cent cinquante et un millions cinq cent douze mille quatre cent huit Ariary"</t>
  </si>
  <si>
    <t>Arrêté le présent devis à la somme de: "Cinquante deux millions deux cent soixante quinze mille neuf cent vingt six Ariary"</t>
  </si>
  <si>
    <t>Arrêté le présent devis à la somme de: "Vingt quatre millions six cent soixante trois mille huit Ariary"</t>
  </si>
  <si>
    <t>Arrêté le présent devis à la somme de: "Vingt cinq millions sept cent huit mille sept cent cinquante six Ariary"</t>
  </si>
  <si>
    <t>Arrêté le présent devis à la somme de: "Soixante et un millions deux cent quarante sept mille cinq cent dix Ariary"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</si>
</sst>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00"/>
  </numFmts>
  <fonts count="36">
    <font>
      <sz val="10"/>
      <color theme="1"/>
      <name val="Segoe UI"/>
      <family val="2"/>
    </font>
    <font>
      <sz val="10"/>
      <color rgb="FF000000"/>
      <name val="Times New Roman"/>
      <charset val="204"/>
    </font>
    <font>
      <sz val="11"/>
      <color rgb="FF000000"/>
      <name val="Blogger Sans Light"/>
    </font>
    <font>
      <b/>
      <i/>
      <sz val="14"/>
      <color rgb="FF463B46"/>
      <name val="Blogger Sans Light"/>
    </font>
    <font>
      <b/>
      <sz val="11"/>
      <name val="Blogger Sans Light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70C0"/>
      <name val="Blogger Sans Light"/>
    </font>
    <font>
      <sz val="11"/>
      <name val="Blogger Sans Light"/>
    </font>
    <font>
      <sz val="11"/>
      <color rgb="FF0070C0"/>
      <name val="Blogger Sans Light"/>
    </font>
    <font>
      <sz val="11"/>
      <color theme="1"/>
      <name val="Blogger Sans Light"/>
    </font>
    <font>
      <i/>
      <u/>
      <sz val="11"/>
      <name val="Blogger Sans Light"/>
    </font>
    <font>
      <i/>
      <sz val="11"/>
      <name val="Blogger Sans Light"/>
    </font>
    <font>
      <sz val="10"/>
      <color rgb="FF000000"/>
      <name val="Times New Roman"/>
      <family val="1"/>
    </font>
    <font>
      <sz val="11"/>
      <name val="TeXGyreAdventor"/>
    </font>
    <font>
      <i/>
      <u/>
      <sz val="11"/>
      <color rgb="FF000000"/>
      <name val="Blogger Sans Light"/>
    </font>
    <font>
      <i/>
      <sz val="11"/>
      <color rgb="FF000000"/>
      <name val="Blogger Sans Light"/>
    </font>
    <font>
      <u/>
      <sz val="11"/>
      <name val="Blogger Sans Light"/>
    </font>
    <font>
      <u/>
      <sz val="11"/>
      <color rgb="FF000000"/>
      <name val="Blogger Sans Light"/>
    </font>
    <font>
      <sz val="10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Segoe UI"/>
      <family val="2"/>
    </font>
    <font>
      <b/>
      <sz val="10"/>
      <color theme="1"/>
      <name val="Segoe UI"/>
      <family val="2"/>
    </font>
    <font>
      <b/>
      <sz val="12"/>
      <color rgb="FFFFFFFF"/>
      <name val="Segoe UI"/>
      <family val="2"/>
    </font>
    <font>
      <b/>
      <sz val="10"/>
      <color rgb="FF000000"/>
      <name val="Times New Roman"/>
      <charset val="204"/>
    </font>
    <font>
      <b/>
      <sz val="10"/>
      <color rgb="FFFFFFFF"/>
      <name val="Segoe UI"/>
      <family val="2"/>
    </font>
    <font>
      <b/>
      <sz val="11"/>
      <color rgb="FFFFFFFF"/>
      <name val="Blogger Sans Light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0000"/>
      <name val="Blogger Sans Light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9E1F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13" fillId="0" borderId="0"/>
    <xf numFmtId="43" fontId="5" fillId="0" borderId="0" applyFont="0" applyFill="0" applyBorder="0" applyAlignment="0" applyProtection="0"/>
    <xf numFmtId="0" fontId="5" fillId="0" borderId="0"/>
    <xf numFmtId="0" fontId="19" fillId="0" borderId="0"/>
    <xf numFmtId="0" fontId="5" fillId="0" borderId="0"/>
    <xf numFmtId="0" fontId="25" fillId="0" borderId="0"/>
  </cellStyleXfs>
  <cellXfs count="184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vertical="top"/>
    </xf>
    <xf numFmtId="0" fontId="1" fillId="0" borderId="0" xfId="1" applyAlignment="1">
      <alignment horizontal="left" vertical="top"/>
    </xf>
    <xf numFmtId="0" fontId="2" fillId="0" borderId="1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4" fontId="4" fillId="2" borderId="4" xfId="2" applyNumberFormat="1" applyFont="1" applyFill="1" applyBorder="1" applyAlignment="1">
      <alignment horizontal="center" vertical="center"/>
    </xf>
    <xf numFmtId="3" fontId="4" fillId="2" borderId="4" xfId="2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3" borderId="4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2" fontId="8" fillId="3" borderId="4" xfId="2" applyNumberFormat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3" fontId="9" fillId="3" borderId="4" xfId="1" applyNumberFormat="1" applyFont="1" applyFill="1" applyBorder="1" applyAlignment="1">
      <alignment vertical="center"/>
    </xf>
    <xf numFmtId="0" fontId="10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vertical="center" wrapText="1"/>
    </xf>
    <xf numFmtId="4" fontId="10" fillId="0" borderId="4" xfId="1" applyNumberFormat="1" applyFont="1" applyBorder="1" applyAlignment="1">
      <alignment horizontal="center" vertical="center"/>
    </xf>
    <xf numFmtId="3" fontId="10" fillId="0" borderId="4" xfId="1" applyNumberFormat="1" applyFont="1" applyBorder="1" applyAlignment="1">
      <alignment vertical="center"/>
    </xf>
    <xf numFmtId="0" fontId="4" fillId="0" borderId="5" xfId="1" applyFont="1" applyBorder="1" applyAlignment="1">
      <alignment horizontal="centerContinuous" vertical="center"/>
    </xf>
    <xf numFmtId="0" fontId="8" fillId="0" borderId="4" xfId="1" applyFont="1" applyBorder="1" applyAlignment="1">
      <alignment vertical="center" wrapText="1"/>
    </xf>
    <xf numFmtId="0" fontId="8" fillId="0" borderId="4" xfId="1" applyFont="1" applyBorder="1" applyAlignment="1">
      <alignment horizontal="center" vertical="center"/>
    </xf>
    <xf numFmtId="3" fontId="4" fillId="4" borderId="8" xfId="1" applyNumberFormat="1" applyFont="1" applyFill="1" applyBorder="1" applyAlignment="1">
      <alignment vertical="top" wrapText="1"/>
    </xf>
    <xf numFmtId="0" fontId="7" fillId="3" borderId="4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3" fontId="9" fillId="3" borderId="4" xfId="3" applyNumberFormat="1" applyFont="1" applyFill="1" applyBorder="1" applyAlignment="1">
      <alignment vertical="center"/>
    </xf>
    <xf numFmtId="0" fontId="13" fillId="0" borderId="0" xfId="3" applyAlignment="1">
      <alignment horizontal="left" vertical="top"/>
    </xf>
    <xf numFmtId="0" fontId="10" fillId="0" borderId="4" xfId="3" applyFont="1" applyBorder="1" applyAlignment="1">
      <alignment horizontal="center" vertical="center"/>
    </xf>
    <xf numFmtId="0" fontId="8" fillId="0" borderId="4" xfId="3" applyFont="1" applyBorder="1" applyAlignment="1">
      <alignment vertical="center" wrapText="1"/>
    </xf>
    <xf numFmtId="2" fontId="2" fillId="0" borderId="4" xfId="3" applyNumberFormat="1" applyFont="1" applyBorder="1" applyAlignment="1">
      <alignment horizontal="center" vertical="center"/>
    </xf>
    <xf numFmtId="3" fontId="10" fillId="0" borderId="4" xfId="3" applyNumberFormat="1" applyFont="1" applyBorder="1" applyAlignment="1">
      <alignment vertical="center"/>
    </xf>
    <xf numFmtId="4" fontId="13" fillId="0" borderId="0" xfId="3" applyNumberFormat="1" applyAlignment="1">
      <alignment horizontal="left" vertical="top"/>
    </xf>
    <xf numFmtId="2" fontId="14" fillId="0" borderId="8" xfId="3" applyNumberFormat="1" applyFont="1" applyBorder="1" applyAlignment="1">
      <alignment horizontal="center" vertical="center" wrapText="1"/>
    </xf>
    <xf numFmtId="3" fontId="4" fillId="5" borderId="8" xfId="3" applyNumberFormat="1" applyFont="1" applyFill="1" applyBorder="1" applyAlignment="1">
      <alignment vertical="top" wrapText="1"/>
    </xf>
    <xf numFmtId="0" fontId="7" fillId="3" borderId="4" xfId="1" applyFont="1" applyFill="1" applyBorder="1" applyAlignment="1">
      <alignment horizontal="center" vertical="center" wrapText="1"/>
    </xf>
    <xf numFmtId="4" fontId="8" fillId="3" borderId="4" xfId="2" applyNumberFormat="1" applyFont="1" applyFill="1" applyBorder="1" applyAlignment="1">
      <alignment horizontal="center" vertical="center"/>
    </xf>
    <xf numFmtId="4" fontId="9" fillId="3" borderId="4" xfId="1" applyNumberFormat="1" applyFont="1" applyFill="1" applyBorder="1" applyAlignment="1">
      <alignment horizontal="right" vertical="center"/>
    </xf>
    <xf numFmtId="165" fontId="2" fillId="0" borderId="8" xfId="1" applyNumberFormat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3" fontId="8" fillId="0" borderId="7" xfId="1" applyNumberFormat="1" applyFont="1" applyBorder="1" applyAlignment="1">
      <alignment horizontal="right" vertical="center" wrapText="1"/>
    </xf>
    <xf numFmtId="0" fontId="7" fillId="3" borderId="4" xfId="3" applyFont="1" applyFill="1" applyBorder="1" applyAlignment="1">
      <alignment horizontal="center" vertical="center" wrapText="1"/>
    </xf>
    <xf numFmtId="165" fontId="2" fillId="0" borderId="8" xfId="3" applyNumberFormat="1" applyFont="1" applyBorder="1" applyAlignment="1">
      <alignment horizontal="center" vertical="center" shrinkToFit="1"/>
    </xf>
    <xf numFmtId="0" fontId="8" fillId="0" borderId="8" xfId="3" applyFont="1" applyBorder="1" applyAlignment="1">
      <alignment horizontal="center" vertical="center" wrapText="1"/>
    </xf>
    <xf numFmtId="3" fontId="8" fillId="0" borderId="8" xfId="3" applyNumberFormat="1" applyFont="1" applyBorder="1" applyAlignment="1">
      <alignment vertical="center" wrapText="1"/>
    </xf>
    <xf numFmtId="3" fontId="8" fillId="0" borderId="7" xfId="1" applyNumberFormat="1" applyFont="1" applyBorder="1" applyAlignment="1">
      <alignment horizontal="right" vertical="top" wrapText="1"/>
    </xf>
    <xf numFmtId="2" fontId="1" fillId="0" borderId="0" xfId="1" applyNumberFormat="1" applyAlignment="1">
      <alignment horizontal="left" vertical="top"/>
    </xf>
    <xf numFmtId="165" fontId="2" fillId="0" borderId="4" xfId="1" applyNumberFormat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wrapText="1"/>
    </xf>
    <xf numFmtId="4" fontId="8" fillId="0" borderId="4" xfId="1" applyNumberFormat="1" applyFont="1" applyBorder="1" applyAlignment="1">
      <alignment horizontal="center" vertical="center" wrapText="1"/>
    </xf>
    <xf numFmtId="3" fontId="8" fillId="0" borderId="4" xfId="1" applyNumberFormat="1" applyFont="1" applyBorder="1" applyAlignment="1">
      <alignment horizontal="right" vertical="top" wrapText="1"/>
    </xf>
    <xf numFmtId="0" fontId="1" fillId="0" borderId="4" xfId="1" applyBorder="1" applyAlignment="1">
      <alignment horizontal="left" vertical="top"/>
    </xf>
    <xf numFmtId="0" fontId="2" fillId="0" borderId="0" xfId="1" applyFont="1" applyAlignment="1">
      <alignment horizontal="left" wrapText="1"/>
    </xf>
    <xf numFmtId="0" fontId="4" fillId="0" borderId="0" xfId="1" applyFont="1" applyAlignment="1">
      <alignment horizontal="centerContinuous" vertical="center"/>
    </xf>
    <xf numFmtId="3" fontId="4" fillId="0" borderId="0" xfId="1" applyNumberFormat="1" applyFont="1" applyAlignment="1">
      <alignment vertical="top" wrapText="1"/>
    </xf>
    <xf numFmtId="0" fontId="1" fillId="0" borderId="0" xfId="1"/>
    <xf numFmtId="3" fontId="18" fillId="0" borderId="0" xfId="1" applyNumberFormat="1" applyFont="1" applyAlignment="1">
      <alignment vertical="center"/>
    </xf>
    <xf numFmtId="3" fontId="10" fillId="0" borderId="11" xfId="1" applyNumberFormat="1" applyFont="1" applyBorder="1" applyAlignment="1">
      <alignment vertical="center"/>
    </xf>
    <xf numFmtId="0" fontId="1" fillId="0" borderId="12" xfId="1" applyBorder="1" applyAlignment="1">
      <alignment horizontal="left" vertical="top"/>
    </xf>
    <xf numFmtId="0" fontId="8" fillId="0" borderId="8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8" fillId="0" borderId="8" xfId="3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3" fontId="4" fillId="6" borderId="8" xfId="1" applyNumberFormat="1" applyFont="1" applyFill="1" applyBorder="1" applyAlignment="1">
      <alignment vertical="top" wrapText="1"/>
    </xf>
    <xf numFmtId="3" fontId="4" fillId="6" borderId="8" xfId="3" applyNumberFormat="1" applyFont="1" applyFill="1" applyBorder="1" applyAlignment="1">
      <alignment vertical="top" wrapText="1"/>
    </xf>
    <xf numFmtId="0" fontId="8" fillId="0" borderId="4" xfId="0" applyFont="1" applyBorder="1" applyAlignment="1">
      <alignment horizontal="center" vertical="center" wrapText="1"/>
    </xf>
    <xf numFmtId="3" fontId="8" fillId="0" borderId="4" xfId="4" applyNumberFormat="1" applyFont="1" applyBorder="1" applyAlignment="1">
      <alignment vertical="center" wrapText="1"/>
    </xf>
    <xf numFmtId="3" fontId="10" fillId="0" borderId="4" xfId="0" applyNumberFormat="1" applyFont="1" applyBorder="1" applyAlignment="1">
      <alignment vertical="center"/>
    </xf>
    <xf numFmtId="3" fontId="10" fillId="0" borderId="4" xfId="1" applyNumberFormat="1" applyFont="1" applyBorder="1" applyAlignment="1">
      <alignment horizontal="right" vertical="center"/>
    </xf>
    <xf numFmtId="0" fontId="20" fillId="0" borderId="0" xfId="5" applyFont="1"/>
    <xf numFmtId="4" fontId="20" fillId="0" borderId="0" xfId="5" applyNumberFormat="1" applyFont="1"/>
    <xf numFmtId="3" fontId="20" fillId="0" borderId="0" xfId="5" applyNumberFormat="1" applyFont="1"/>
    <xf numFmtId="0" fontId="21" fillId="0" borderId="0" xfId="3" applyFont="1" applyAlignment="1">
      <alignment horizontal="left" vertical="top"/>
    </xf>
    <xf numFmtId="0" fontId="5" fillId="0" borderId="0" xfId="5"/>
    <xf numFmtId="166" fontId="5" fillId="0" borderId="4" xfId="5" applyNumberFormat="1" applyBorder="1" applyAlignment="1">
      <alignment horizontal="center" vertical="center"/>
    </xf>
    <xf numFmtId="0" fontId="0" fillId="0" borderId="4" xfId="5" applyFont="1" applyBorder="1" applyAlignment="1">
      <alignment vertical="center" wrapText="1"/>
    </xf>
    <xf numFmtId="4" fontId="5" fillId="0" borderId="4" xfId="5" applyNumberFormat="1" applyBorder="1" applyAlignment="1">
      <alignment vertical="center"/>
    </xf>
    <xf numFmtId="3" fontId="5" fillId="0" borderId="4" xfId="5" applyNumberFormat="1" applyBorder="1" applyAlignment="1">
      <alignment vertical="center"/>
    </xf>
    <xf numFmtId="3" fontId="5" fillId="0" borderId="0" xfId="5" applyNumberFormat="1"/>
    <xf numFmtId="0" fontId="2" fillId="0" borderId="0" xfId="6" applyFont="1" applyAlignment="1">
      <alignment horizontal="left" vertical="top"/>
    </xf>
    <xf numFmtId="0" fontId="2" fillId="0" borderId="0" xfId="6" applyFont="1" applyAlignment="1">
      <alignment horizontal="center" vertical="center"/>
    </xf>
    <xf numFmtId="0" fontId="2" fillId="0" borderId="0" xfId="6" applyFont="1" applyAlignment="1">
      <alignment vertical="top"/>
    </xf>
    <xf numFmtId="0" fontId="19" fillId="0" borderId="0" xfId="6" applyAlignment="1">
      <alignment horizontal="left" vertical="top"/>
    </xf>
    <xf numFmtId="0" fontId="24" fillId="0" borderId="0" xfId="5" applyFont="1"/>
    <xf numFmtId="0" fontId="5" fillId="0" borderId="0" xfId="5" applyAlignment="1">
      <alignment vertical="center"/>
    </xf>
    <xf numFmtId="3" fontId="13" fillId="0" borderId="0" xfId="3" applyNumberFormat="1" applyAlignment="1">
      <alignment horizontal="left" vertical="top"/>
    </xf>
    <xf numFmtId="0" fontId="0" fillId="0" borderId="0" xfId="0" applyAlignment="1">
      <alignment horizontal="left"/>
    </xf>
    <xf numFmtId="3" fontId="8" fillId="0" borderId="8" xfId="3" applyNumberFormat="1" applyFont="1" applyBorder="1" applyAlignment="1">
      <alignment horizontal="right" vertical="center" wrapText="1"/>
    </xf>
    <xf numFmtId="3" fontId="8" fillId="0" borderId="5" xfId="3" applyNumberFormat="1" applyFont="1" applyBorder="1" applyAlignment="1">
      <alignment horizontal="right" vertical="center" wrapText="1"/>
    </xf>
    <xf numFmtId="3" fontId="8" fillId="0" borderId="7" xfId="3" applyNumberFormat="1" applyFont="1" applyBorder="1" applyAlignment="1">
      <alignment vertical="center" wrapText="1"/>
    </xf>
    <xf numFmtId="0" fontId="8" fillId="0" borderId="4" xfId="3" applyFont="1" applyBorder="1" applyAlignment="1">
      <alignment horizontal="center" vertical="center"/>
    </xf>
    <xf numFmtId="3" fontId="4" fillId="5" borderId="8" xfId="3" applyNumberFormat="1" applyFont="1" applyFill="1" applyBorder="1" applyAlignment="1">
      <alignment vertical="center" wrapText="1"/>
    </xf>
    <xf numFmtId="2" fontId="14" fillId="0" borderId="5" xfId="3" applyNumberFormat="1" applyFont="1" applyBorder="1" applyAlignment="1">
      <alignment horizontal="center" vertical="center" wrapText="1"/>
    </xf>
    <xf numFmtId="2" fontId="8" fillId="0" borderId="8" xfId="3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8" fillId="0" borderId="4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5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3" fontId="5" fillId="0" borderId="4" xfId="5" applyNumberFormat="1" applyBorder="1" applyAlignment="1">
      <alignment horizontal="center" vertical="center"/>
    </xf>
    <xf numFmtId="3" fontId="5" fillId="0" borderId="4" xfId="5" applyNumberFormat="1" applyBorder="1" applyAlignment="1">
      <alignment horizontal="right" vertical="center"/>
    </xf>
    <xf numFmtId="3" fontId="26" fillId="0" borderId="4" xfId="5" applyNumberFormat="1" applyFont="1" applyBorder="1" applyAlignment="1">
      <alignment horizontal="center" vertical="center"/>
    </xf>
    <xf numFmtId="3" fontId="4" fillId="4" borderId="8" xfId="1" applyNumberFormat="1" applyFont="1" applyFill="1" applyBorder="1" applyAlignment="1">
      <alignment vertical="center" wrapText="1"/>
    </xf>
    <xf numFmtId="3" fontId="4" fillId="0" borderId="8" xfId="1" applyNumberFormat="1" applyFont="1" applyBorder="1" applyAlignment="1">
      <alignment vertical="center" wrapText="1"/>
    </xf>
    <xf numFmtId="0" fontId="8" fillId="0" borderId="6" xfId="3" applyFont="1" applyBorder="1" applyAlignment="1">
      <alignment horizontal="left" vertical="center" wrapText="1"/>
    </xf>
    <xf numFmtId="0" fontId="8" fillId="0" borderId="5" xfId="3" applyFont="1" applyBorder="1" applyAlignment="1">
      <alignment horizontal="left" vertical="center" wrapText="1"/>
    </xf>
    <xf numFmtId="0" fontId="8" fillId="0" borderId="18" xfId="3" applyFont="1" applyBorder="1" applyAlignment="1">
      <alignment horizontal="center" vertical="center" wrapText="1"/>
    </xf>
    <xf numFmtId="2" fontId="8" fillId="0" borderId="19" xfId="3" applyNumberFormat="1" applyFont="1" applyBorder="1" applyAlignment="1">
      <alignment horizontal="center" vertical="center" wrapText="1"/>
    </xf>
    <xf numFmtId="3" fontId="8" fillId="0" borderId="10" xfId="3" applyNumberFormat="1" applyFont="1" applyBorder="1" applyAlignment="1">
      <alignment vertical="center" wrapText="1"/>
    </xf>
    <xf numFmtId="3" fontId="8" fillId="0" borderId="21" xfId="3" applyNumberFormat="1" applyFont="1" applyBorder="1" applyAlignment="1">
      <alignment vertical="center" wrapText="1"/>
    </xf>
    <xf numFmtId="3" fontId="8" fillId="0" borderId="22" xfId="3" applyNumberFormat="1" applyFont="1" applyBorder="1" applyAlignment="1">
      <alignment vertical="center" wrapText="1"/>
    </xf>
    <xf numFmtId="2" fontId="8" fillId="0" borderId="23" xfId="3" applyNumberFormat="1" applyFont="1" applyBorder="1" applyAlignment="1">
      <alignment horizontal="center" vertical="center" wrapText="1"/>
    </xf>
    <xf numFmtId="2" fontId="8" fillId="0" borderId="24" xfId="3" applyNumberFormat="1" applyFont="1" applyBorder="1" applyAlignment="1">
      <alignment horizontal="center" vertical="center" wrapText="1"/>
    </xf>
    <xf numFmtId="165" fontId="2" fillId="0" borderId="5" xfId="1" applyNumberFormat="1" applyFont="1" applyBorder="1" applyAlignment="1">
      <alignment horizontal="center" vertical="center" shrinkToFit="1"/>
    </xf>
    <xf numFmtId="3" fontId="10" fillId="0" borderId="0" xfId="1" applyNumberFormat="1" applyFont="1" applyAlignment="1">
      <alignment vertical="center"/>
    </xf>
    <xf numFmtId="0" fontId="2" fillId="0" borderId="9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center" vertical="center" wrapText="1"/>
    </xf>
    <xf numFmtId="2" fontId="8" fillId="0" borderId="9" xfId="1" applyNumberFormat="1" applyFont="1" applyBorder="1" applyAlignment="1">
      <alignment horizontal="center" vertical="center" wrapText="1"/>
    </xf>
    <xf numFmtId="3" fontId="8" fillId="0" borderId="10" xfId="1" applyNumberFormat="1" applyFont="1" applyBorder="1" applyAlignment="1">
      <alignment horizontal="right" vertical="center" wrapText="1"/>
    </xf>
    <xf numFmtId="0" fontId="30" fillId="9" borderId="4" xfId="1" applyFont="1" applyFill="1" applyBorder="1"/>
    <xf numFmtId="0" fontId="30" fillId="9" borderId="4" xfId="1" applyFont="1" applyFill="1" applyBorder="1" applyAlignment="1">
      <alignment vertical="center"/>
    </xf>
    <xf numFmtId="0" fontId="2" fillId="0" borderId="4" xfId="1" applyFont="1" applyBorder="1" applyAlignment="1">
      <alignment horizontal="left" vertical="center"/>
    </xf>
    <xf numFmtId="3" fontId="2" fillId="0" borderId="4" xfId="1" applyNumberFormat="1" applyFont="1" applyBorder="1" applyAlignment="1">
      <alignment horizontal="center" vertical="center"/>
    </xf>
    <xf numFmtId="3" fontId="32" fillId="8" borderId="4" xfId="1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 shrinkToFit="1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4" fontId="8" fillId="0" borderId="0" xfId="1" applyNumberFormat="1" applyFont="1" applyAlignment="1">
      <alignment horizontal="center" vertical="center" wrapText="1"/>
    </xf>
    <xf numFmtId="3" fontId="8" fillId="0" borderId="0" xfId="1" applyNumberFormat="1" applyFont="1" applyAlignment="1">
      <alignment horizontal="right" vertical="top" wrapText="1"/>
    </xf>
    <xf numFmtId="3" fontId="4" fillId="6" borderId="25" xfId="3" applyNumberFormat="1" applyFont="1" applyFill="1" applyBorder="1" applyAlignment="1">
      <alignment vertical="top" wrapText="1"/>
    </xf>
    <xf numFmtId="3" fontId="4" fillId="10" borderId="8" xfId="3" applyNumberFormat="1" applyFont="1" applyFill="1" applyBorder="1" applyAlignment="1">
      <alignment vertical="center" wrapText="1"/>
    </xf>
    <xf numFmtId="3" fontId="4" fillId="0" borderId="8" xfId="3" applyNumberFormat="1" applyFont="1" applyBorder="1" applyAlignment="1">
      <alignment vertical="center" wrapText="1"/>
    </xf>
    <xf numFmtId="0" fontId="7" fillId="3" borderId="9" xfId="3" applyFont="1" applyFill="1" applyBorder="1" applyAlignment="1">
      <alignment horizontal="center" vertical="center" wrapText="1"/>
    </xf>
    <xf numFmtId="3" fontId="7" fillId="3" borderId="8" xfId="3" applyNumberFormat="1" applyFont="1" applyFill="1" applyBorder="1" applyAlignment="1">
      <alignment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3" fontId="8" fillId="0" borderId="20" xfId="3" applyNumberFormat="1" applyFont="1" applyBorder="1" applyAlignment="1">
      <alignment horizontal="right" vertical="center" wrapText="1"/>
    </xf>
    <xf numFmtId="0" fontId="22" fillId="2" borderId="18" xfId="5" applyFont="1" applyFill="1" applyBorder="1" applyAlignment="1">
      <alignment horizontal="center" vertical="center" wrapText="1"/>
    </xf>
    <xf numFmtId="0" fontId="22" fillId="2" borderId="18" xfId="5" applyFont="1" applyFill="1" applyBorder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35" fillId="0" borderId="0" xfId="6" applyFont="1" applyAlignment="1">
      <alignment horizontal="left" vertical="center"/>
    </xf>
    <xf numFmtId="0" fontId="29" fillId="8" borderId="4" xfId="0" applyFont="1" applyFill="1" applyBorder="1" applyAlignment="1">
      <alignment horizontal="center"/>
    </xf>
    <xf numFmtId="0" fontId="0" fillId="0" borderId="4" xfId="0" applyBorder="1"/>
    <xf numFmtId="0" fontId="31" fillId="8" borderId="4" xfId="0" applyFont="1" applyFill="1" applyBorder="1"/>
    <xf numFmtId="0" fontId="0" fillId="8" borderId="4" xfId="0" applyFill="1" applyBorder="1"/>
    <xf numFmtId="0" fontId="2" fillId="0" borderId="9" xfId="1" applyFont="1" applyBorder="1" applyAlignment="1">
      <alignment horizontal="left" wrapText="1"/>
    </xf>
    <xf numFmtId="0" fontId="2" fillId="0" borderId="10" xfId="1" applyFont="1" applyBorder="1" applyAlignment="1">
      <alignment horizontal="left" wrapText="1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top" wrapText="1"/>
    </xf>
    <xf numFmtId="0" fontId="4" fillId="0" borderId="6" xfId="3" applyFont="1" applyBorder="1" applyAlignment="1">
      <alignment horizontal="center" vertical="top" wrapText="1"/>
    </xf>
    <xf numFmtId="0" fontId="4" fillId="0" borderId="7" xfId="3" applyFont="1" applyBorder="1" applyAlignment="1">
      <alignment horizontal="center" vertical="top" wrapText="1"/>
    </xf>
    <xf numFmtId="0" fontId="7" fillId="3" borderId="6" xfId="3" applyFont="1" applyFill="1" applyBorder="1" applyAlignment="1">
      <alignment horizontal="center" vertical="center" wrapText="1"/>
    </xf>
    <xf numFmtId="0" fontId="7" fillId="3" borderId="7" xfId="3" applyFont="1" applyFill="1" applyBorder="1" applyAlignment="1">
      <alignment horizontal="center" vertical="center" wrapText="1"/>
    </xf>
    <xf numFmtId="0" fontId="28" fillId="10" borderId="6" xfId="0" applyFont="1" applyFill="1" applyBorder="1"/>
    <xf numFmtId="0" fontId="28" fillId="10" borderId="7" xfId="0" applyFont="1" applyFill="1" applyBorder="1"/>
    <xf numFmtId="0" fontId="4" fillId="0" borderId="17" xfId="3" applyFont="1" applyBorder="1" applyAlignment="1">
      <alignment horizontal="center" vertical="center" wrapText="1"/>
    </xf>
    <xf numFmtId="0" fontId="4" fillId="0" borderId="20" xfId="3" applyFont="1" applyBorder="1" applyAlignment="1">
      <alignment horizontal="center" vertical="center" wrapText="1"/>
    </xf>
    <xf numFmtId="0" fontId="35" fillId="0" borderId="0" xfId="1" applyFont="1" applyAlignment="1">
      <alignment horizontal="center" wrapText="1"/>
    </xf>
    <xf numFmtId="0" fontId="23" fillId="7" borderId="11" xfId="5" applyFont="1" applyFill="1" applyBorder="1" applyAlignment="1">
      <alignment horizontal="center" vertical="center"/>
    </xf>
    <xf numFmtId="0" fontId="23" fillId="7" borderId="13" xfId="5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 wrapText="1"/>
    </xf>
    <xf numFmtId="0" fontId="3" fillId="0" borderId="13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</cellXfs>
  <cellStyles count="9">
    <cellStyle name="Milliers 2" xfId="4" xr:uid="{00000000-0005-0000-0000-000000000000}"/>
    <cellStyle name="Milliers 2 2" xfId="2" xr:uid="{00000000-0005-0000-0000-000001000000}"/>
    <cellStyle name="Normal" xfId="0" builtinId="0"/>
    <cellStyle name="Normal 2" xfId="6" xr:uid="{00000000-0005-0000-0000-000003000000}"/>
    <cellStyle name="Normal 2 2" xfId="7" xr:uid="{00000000-0005-0000-0000-000004000000}"/>
    <cellStyle name="Normal 2 2 2" xfId="8" xr:uid="{00000000-0005-0000-0000-000005000000}"/>
    <cellStyle name="Normal 3 2" xfId="5" xr:uid="{00000000-0005-0000-0000-000006000000}"/>
    <cellStyle name="Normal 4" xfId="3" xr:uid="{00000000-0005-0000-0000-000007000000}"/>
    <cellStyle name="Normal 6" xfId="1" xr:uid="{00000000-0005-0000-0000-000008000000}"/>
  </cellStyles>
  <dxfs count="0"/>
  <tableStyles count="0" defaultTableStyle="TableStyleMedium2" defaultPivotStyle="PivotStyleLight16"/>
  <colors>
    <mruColors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17640</xdr:colOff>
      <xdr:row>0</xdr:row>
      <xdr:rowOff>52917</xdr:rowOff>
    </xdr:from>
    <xdr:ext cx="3342278" cy="890207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0" y="52917"/>
          <a:ext cx="3342278" cy="890207"/>
        </a:xfrm>
        <a:prstGeom prst="rect">
          <a:avLst/>
        </a:prstGeom>
      </xdr:spPr>
    </xdr:pic>
    <xdr:clientData/>
  </xdr:oneCellAnchor>
  <xdr:oneCellAnchor>
    <xdr:from>
      <xdr:col>4</xdr:col>
      <xdr:colOff>546806</xdr:colOff>
      <xdr:row>76</xdr:row>
      <xdr:rowOff>1</xdr:rowOff>
    </xdr:from>
    <xdr:ext cx="2100367" cy="176567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056" y="23355301"/>
          <a:ext cx="2100367" cy="176567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17640</xdr:colOff>
      <xdr:row>0</xdr:row>
      <xdr:rowOff>52917</xdr:rowOff>
    </xdr:from>
    <xdr:ext cx="3342278" cy="890207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0" y="52917"/>
          <a:ext cx="3342278" cy="890207"/>
        </a:xfrm>
        <a:prstGeom prst="rect">
          <a:avLst/>
        </a:prstGeom>
      </xdr:spPr>
    </xdr:pic>
    <xdr:clientData/>
  </xdr:oneCellAnchor>
  <xdr:oneCellAnchor>
    <xdr:from>
      <xdr:col>4</xdr:col>
      <xdr:colOff>546806</xdr:colOff>
      <xdr:row>68</xdr:row>
      <xdr:rowOff>1</xdr:rowOff>
    </xdr:from>
    <xdr:ext cx="2100367" cy="176567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056" y="23355301"/>
          <a:ext cx="2100367" cy="176567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17640</xdr:colOff>
      <xdr:row>0</xdr:row>
      <xdr:rowOff>52917</xdr:rowOff>
    </xdr:from>
    <xdr:ext cx="3342278" cy="890207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0" y="52917"/>
          <a:ext cx="3342278" cy="890207"/>
        </a:xfrm>
        <a:prstGeom prst="rect">
          <a:avLst/>
        </a:prstGeom>
      </xdr:spPr>
    </xdr:pic>
    <xdr:clientData/>
  </xdr:oneCellAnchor>
  <xdr:oneCellAnchor>
    <xdr:from>
      <xdr:col>4</xdr:col>
      <xdr:colOff>546806</xdr:colOff>
      <xdr:row>68</xdr:row>
      <xdr:rowOff>1</xdr:rowOff>
    </xdr:from>
    <xdr:ext cx="2100367" cy="176567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056" y="23841076"/>
          <a:ext cx="2100367" cy="176567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17640</xdr:colOff>
      <xdr:row>0</xdr:row>
      <xdr:rowOff>52917</xdr:rowOff>
    </xdr:from>
    <xdr:ext cx="3342278" cy="890207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0" y="52917"/>
          <a:ext cx="3342278" cy="890207"/>
        </a:xfrm>
        <a:prstGeom prst="rect">
          <a:avLst/>
        </a:prstGeom>
      </xdr:spPr>
    </xdr:pic>
    <xdr:clientData/>
  </xdr:oneCellAnchor>
  <xdr:oneCellAnchor>
    <xdr:from>
      <xdr:col>4</xdr:col>
      <xdr:colOff>546806</xdr:colOff>
      <xdr:row>68</xdr:row>
      <xdr:rowOff>1</xdr:rowOff>
    </xdr:from>
    <xdr:ext cx="2100367" cy="176567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056" y="26003251"/>
          <a:ext cx="2100367" cy="176567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17640</xdr:colOff>
      <xdr:row>0</xdr:row>
      <xdr:rowOff>52917</xdr:rowOff>
    </xdr:from>
    <xdr:ext cx="3342278" cy="890207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0" y="52917"/>
          <a:ext cx="3342278" cy="890207"/>
        </a:xfrm>
        <a:prstGeom prst="rect">
          <a:avLst/>
        </a:prstGeom>
      </xdr:spPr>
    </xdr:pic>
    <xdr:clientData/>
  </xdr:oneCellAnchor>
  <xdr:oneCellAnchor>
    <xdr:from>
      <xdr:col>4</xdr:col>
      <xdr:colOff>546806</xdr:colOff>
      <xdr:row>20</xdr:row>
      <xdr:rowOff>1</xdr:rowOff>
    </xdr:from>
    <xdr:ext cx="2100367" cy="176567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056" y="23355301"/>
          <a:ext cx="2100367" cy="176567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17640</xdr:colOff>
      <xdr:row>0</xdr:row>
      <xdr:rowOff>52917</xdr:rowOff>
    </xdr:from>
    <xdr:ext cx="3342278" cy="890207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0" y="52917"/>
          <a:ext cx="3342278" cy="890207"/>
        </a:xfrm>
        <a:prstGeom prst="rect">
          <a:avLst/>
        </a:prstGeom>
      </xdr:spPr>
    </xdr:pic>
    <xdr:clientData/>
  </xdr:oneCellAnchor>
  <xdr:oneCellAnchor>
    <xdr:from>
      <xdr:col>4</xdr:col>
      <xdr:colOff>546806</xdr:colOff>
      <xdr:row>67</xdr:row>
      <xdr:rowOff>1</xdr:rowOff>
    </xdr:from>
    <xdr:ext cx="2100367" cy="176567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4056" y="18126076"/>
          <a:ext cx="2100367" cy="176567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973433</xdr:colOff>
      <xdr:row>15</xdr:row>
      <xdr:rowOff>110428</xdr:rowOff>
    </xdr:from>
    <xdr:to>
      <xdr:col>4</xdr:col>
      <xdr:colOff>1664258</xdr:colOff>
      <xdr:row>25</xdr:row>
      <xdr:rowOff>83159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56" y="5637021"/>
          <a:ext cx="2187611" cy="1856797"/>
        </a:xfrm>
        <a:prstGeom prst="rect">
          <a:avLst/>
        </a:prstGeom>
      </xdr:spPr>
    </xdr:pic>
    <xdr:clientData/>
  </xdr:twoCellAnchor>
  <xdr:oneCellAnchor>
    <xdr:from>
      <xdr:col>0</xdr:col>
      <xdr:colOff>104385</xdr:colOff>
      <xdr:row>0</xdr:row>
      <xdr:rowOff>1</xdr:rowOff>
    </xdr:from>
    <xdr:ext cx="3687907" cy="982265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85" y="1"/>
          <a:ext cx="3687907" cy="98226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RANCIA\Local%20Settings\Temporary%20Internet%20Files\OLK31\Documents%20and%20Settings\TOKY\Bureau\II%20Arrodissem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JARY\Hasina%20D\_Projet\4_UNICEF\MIARY\anja\BDE_ANDROY\_Projet\1_Androy\CNO\AEP_SD\00-BP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nto\Mes%20documents\Lanto\Villa%20D%20112\TANA\SDP%20du%2010%20F&#233;vrier%202005%20(PROJET%20TANANARIVE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anto\Mes%20documents\Lanto\Villa%20D%20112\TANA\SDP%20du%2010%20F&#233;vrier%202005%20(PROJET%20TANANARIVE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ti%20consulting\Mahitsy\BLOC%20SANITAIRE%20EPP\BDQE_APD_BLOC%20SANITAIRE%20v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IIè Arr"/>
      <sheetName val="BS Antanimora Ampasanimalo"/>
      <sheetName val="BF Antanimora Ampasanimalo"/>
      <sheetName val="BF 5A Avaratra Ankatso"/>
      <sheetName val="BF 5A DONGONA"/>
      <sheetName val="BL Ampamantanana Androndrabe"/>
      <sheetName val="Prix reference"/>
    </sheetNames>
    <sheetDataSet>
      <sheetData sheetId="0"/>
      <sheetData sheetId="1">
        <row r="255">
          <cell r="E255">
            <v>39907686.07</v>
          </cell>
        </row>
      </sheetData>
      <sheetData sheetId="2">
        <row r="126">
          <cell r="C126">
            <v>2775928.7450000001</v>
          </cell>
        </row>
      </sheetData>
      <sheetData sheetId="3">
        <row r="124">
          <cell r="C124">
            <v>2747307.5449999999</v>
          </cell>
        </row>
      </sheetData>
      <sheetData sheetId="4">
        <row r="121">
          <cell r="C121">
            <v>2627307.5449999999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_NOUVEAU_FORAGE"/>
      <sheetName val="V2_REHAB_FORAGE"/>
      <sheetName val="V2_NOUVEAU_FORAGE_MANUEL_25M"/>
      <sheetName val="_V1_NOUVEAU_PUITS08m"/>
      <sheetName val="DQE_Manasoa_APD"/>
      <sheetName val="V2_NOUVEAU_fora_Man25m"/>
      <sheetName val="V2_NOUVEAU_Forage_Manuel25mold"/>
      <sheetName val="V2_NOUVEAU_FOR_Man_25m12"/>
      <sheetName val="Recap"/>
      <sheetName val="BPU"/>
      <sheetName val="RECAPITULATION"/>
      <sheetName val="DQE_Manasoa_CCTP"/>
      <sheetName val="BPU DAO"/>
      <sheetName val="DQE_Anjozoro_PanO solèr"/>
      <sheetName val="DQE_Anjozoro_Jirama"/>
      <sheetName val="DQE_Anjozoro_hybride"/>
      <sheetName val="DQE_V1"/>
      <sheetName val="DQE_V2"/>
      <sheetName val="metré_ Branch part"/>
      <sheetName val="metré Res_15m3;10,00m"/>
      <sheetName val="Feuil1"/>
      <sheetName val="Feuil2"/>
      <sheetName val="DQE_PHASE 1_AEPG "/>
      <sheetName val="DQE_Ampasindava_V1_BARRAGE"/>
      <sheetName val="DQE_Ampasindava_V2_PUITS"/>
      <sheetName val="DQE_Ampasindava_V3_FORAGE"/>
      <sheetName val="DQE_Ampasindava_V4_PUITS A DRAI"/>
      <sheetName val="DQE_Adava_V5_PUITS BARBACANNE"/>
      <sheetName val="DQE_Ampasindava_V6_GRAVITAIRE"/>
      <sheetName val="DQE_Anjozoro_V1"/>
      <sheetName val="DQE_Anjozoro_ hybride"/>
      <sheetName val="canalisation"/>
      <sheetName val="DQE_Ampasindava"/>
      <sheetName val="metré Res_25m3"/>
      <sheetName val="metré Res_20m3"/>
      <sheetName val="metré Res_30m3;15,00m"/>
      <sheetName val="DQE_V1 FINAL"/>
      <sheetName val="metré puits"/>
      <sheetName val="métré Res_20m3;15m"/>
      <sheetName val="BPU2021"/>
      <sheetName val="BDE "/>
      <sheetName val="Panne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DESIGNATION</v>
          </cell>
          <cell r="D2" t="str">
            <v>Unité</v>
          </cell>
          <cell r="E2" t="str">
            <v>Prix Unitaire en Ar</v>
          </cell>
          <cell r="F2" t="str">
            <v>Prix Unitaire en Euros</v>
          </cell>
          <cell r="H2">
            <v>0</v>
          </cell>
          <cell r="I2">
            <v>0</v>
          </cell>
          <cell r="J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C4" t="str">
            <v>SERIE 000 - INSTALLATIONS ET TRAVAUX GENERAUX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C6" t="str">
            <v>Installation et replis de chantier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C7" t="str">
            <v>Installation de chantier</v>
          </cell>
          <cell r="D7" t="str">
            <v>Fft</v>
          </cell>
          <cell r="E7">
            <v>3850000</v>
          </cell>
          <cell r="F7">
            <v>1166.6666666666667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C8" t="str">
            <v>Installation de chantier ANDR_02</v>
          </cell>
          <cell r="D8" t="str">
            <v>Fft</v>
          </cell>
          <cell r="E8">
            <v>3000000</v>
          </cell>
          <cell r="F8">
            <v>909.09090909090912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C9" t="str">
            <v>Installation de chantier ANDR_03</v>
          </cell>
          <cell r="D9" t="str">
            <v>Fft</v>
          </cell>
          <cell r="E9">
            <v>3000000</v>
          </cell>
          <cell r="F9">
            <v>909.09090909090912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C11" t="str">
            <v xml:space="preserve"> Replis de chantier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C12" t="str">
            <v>Replis du chantier</v>
          </cell>
          <cell r="D12" t="str">
            <v>Fft</v>
          </cell>
          <cell r="E12">
            <v>2500000</v>
          </cell>
          <cell r="F12">
            <v>757.57575757575762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C13" t="str">
            <v>SERIE 100 - TRAVAUX DE CONSTRUCTION DES OUVRAGE DE GENIE CIVIL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C15" t="str">
            <v>Terrassements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C16" t="str">
            <v>Décapage et débroussaillage</v>
          </cell>
          <cell r="D16" t="str">
            <v>m2</v>
          </cell>
          <cell r="E16">
            <v>2820</v>
          </cell>
          <cell r="F16">
            <v>0.8545454545454545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C17" t="str">
            <v>Abattage d'arbres Ø &gt; 20 cm, y compris dessouchage</v>
          </cell>
          <cell r="D17" t="str">
            <v>m2</v>
          </cell>
          <cell r="E17">
            <v>15000</v>
          </cell>
          <cell r="F17">
            <v>4.5454545454545459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C18" t="str">
            <v>Fouille en rigole ou en tranchée, en terre franche ou sabloneuse</v>
          </cell>
          <cell r="D18" t="str">
            <v>m3</v>
          </cell>
          <cell r="E18">
            <v>4920</v>
          </cell>
          <cell r="F18">
            <v>1.490909090909091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C19" t="str">
            <v>Fouille en puit y compris reglage, verticalité jusqu'en profondeur voulue</v>
          </cell>
          <cell r="D19" t="str">
            <v>m3</v>
          </cell>
          <cell r="E19">
            <v>17250</v>
          </cell>
          <cell r="F19">
            <v>5.2272727272727275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 t="str">
            <v>Déblai ordinaire</v>
          </cell>
          <cell r="D20" t="str">
            <v>m3</v>
          </cell>
          <cell r="E20">
            <v>4100</v>
          </cell>
          <cell r="F20">
            <v>1.2424242424242424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C21" t="str">
            <v>Déblai rocailleux</v>
          </cell>
          <cell r="D21" t="str">
            <v>m3</v>
          </cell>
          <cell r="E21">
            <v>15200</v>
          </cell>
          <cell r="F21">
            <v>4.6060606060606064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C22" t="str">
            <v>Déroctage</v>
          </cell>
          <cell r="D22" t="str">
            <v>m3</v>
          </cell>
          <cell r="E22">
            <v>23000</v>
          </cell>
          <cell r="F22">
            <v>6.9696969696969697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C23" t="str">
            <v>Remblais compacté par couche de 0,20m</v>
          </cell>
          <cell r="D23" t="str">
            <v>m3</v>
          </cell>
          <cell r="E23">
            <v>7060</v>
          </cell>
          <cell r="F23">
            <v>2.1393939393939392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C24" t="str">
            <v>Evacuation de terre excédentaire</v>
          </cell>
          <cell r="D24" t="str">
            <v>m3</v>
          </cell>
          <cell r="E24">
            <v>27180</v>
          </cell>
          <cell r="F24">
            <v>8.2363636363636363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C25" t="str">
            <v>Apport de sable</v>
          </cell>
          <cell r="D25" t="str">
            <v>m3</v>
          </cell>
          <cell r="E25">
            <v>15500</v>
          </cell>
          <cell r="F25">
            <v>4.6969696969696972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C26" t="str">
            <v>Enrochement</v>
          </cell>
          <cell r="D26" t="str">
            <v>m3</v>
          </cell>
          <cell r="E26">
            <v>37500</v>
          </cell>
          <cell r="F26">
            <v>11.363636363636363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C27" t="str">
            <v>Trou d'ancrage</v>
          </cell>
          <cell r="D27" t="str">
            <v>uté</v>
          </cell>
          <cell r="E27">
            <v>6800</v>
          </cell>
          <cell r="F27">
            <v>2.0606060606060606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C29" t="str">
            <v>Maçonnerie et béton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C30" t="str">
            <v>Hérissonnage</v>
          </cell>
          <cell r="D30" t="str">
            <v>m3</v>
          </cell>
          <cell r="E30">
            <v>22500</v>
          </cell>
          <cell r="F30">
            <v>6.8181818181818183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C31" t="str">
            <v>Béton de propreté dosé à 150 kg/m3, ep. 5cm</v>
          </cell>
          <cell r="D31" t="str">
            <v>m3</v>
          </cell>
          <cell r="E31">
            <v>177360</v>
          </cell>
          <cell r="F31">
            <v>53.745454545454542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C32" t="str">
            <v>Béton ordinaire dosé à 300 kg/m³</v>
          </cell>
          <cell r="D32" t="str">
            <v>m3</v>
          </cell>
          <cell r="E32">
            <v>321600</v>
          </cell>
          <cell r="F32">
            <v>97.454545454545453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C33" t="str">
            <v>Béton cyclopéen dosé à 300 kg/m3</v>
          </cell>
          <cell r="D33" t="str">
            <v>m3</v>
          </cell>
          <cell r="E33">
            <v>325500</v>
          </cell>
          <cell r="F33">
            <v>98.63636363636364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C34" t="str">
            <v>Béton armé dosé à 350 kg/m3</v>
          </cell>
          <cell r="D34" t="str">
            <v>m3</v>
          </cell>
          <cell r="E34">
            <v>360274</v>
          </cell>
          <cell r="F34">
            <v>109.17393939393939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C35" t="str">
            <v>Enduit au mortier de ciment dosé à 350 Kg/m3, ep. 15cm</v>
          </cell>
          <cell r="D35" t="str">
            <v>m2</v>
          </cell>
          <cell r="E35">
            <v>5220</v>
          </cell>
          <cell r="F35">
            <v>1.5818181818181818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C36" t="str">
            <v>Enduit au mortier de ciment dosé à 400 Kg/m3, ep. 15cm</v>
          </cell>
          <cell r="D36" t="str">
            <v>m2</v>
          </cell>
          <cell r="E36">
            <v>8390</v>
          </cell>
          <cell r="F36">
            <v>2.5424242424242425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C37" t="str">
            <v>Enduit  étanche au mortier de ciment dosé à 500 Kg/m3</v>
          </cell>
          <cell r="D37" t="str">
            <v>m2</v>
          </cell>
          <cell r="E37">
            <v>9260</v>
          </cell>
          <cell r="F37">
            <v>2.8060606060606061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C38" t="str">
            <v>Chape ordinaire au mortier de ciment dosé à 450 kg/m3, ep. 15cm</v>
          </cell>
          <cell r="D38" t="str">
            <v>m2</v>
          </cell>
          <cell r="E38">
            <v>9100</v>
          </cell>
          <cell r="F38">
            <v>2.7575757575757578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C39" t="str">
            <v>Chape étanche au mortier de ciment dosé à 500 kg/m3</v>
          </cell>
          <cell r="D39" t="str">
            <v>m2</v>
          </cell>
          <cell r="E39">
            <v>9970</v>
          </cell>
          <cell r="F39">
            <v>3.021212121212121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C40" t="str">
            <v>Etanchéité monocouche</v>
          </cell>
          <cell r="D40" t="str">
            <v>m2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C41" t="str">
            <v>Relevé d'étanchéité</v>
          </cell>
          <cell r="D41" t="str">
            <v>ml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C42" t="str">
            <v>Coffrages plans ordinaires</v>
          </cell>
          <cell r="D42" t="str">
            <v>m2</v>
          </cell>
          <cell r="E42">
            <v>9200</v>
          </cell>
          <cell r="F42">
            <v>2.7878787878787881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C43" t="str">
            <v>Coffrage plans soignés</v>
          </cell>
          <cell r="D43" t="str">
            <v>m2</v>
          </cell>
          <cell r="E43">
            <v>14144.999999999998</v>
          </cell>
          <cell r="F43">
            <v>4.2863636363636362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C44" t="str">
            <v xml:space="preserve">Aciers à haute adhérence </v>
          </cell>
          <cell r="D44" t="str">
            <v>kg</v>
          </cell>
          <cell r="E44">
            <v>5740</v>
          </cell>
          <cell r="F44">
            <v>1.7393939393939395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C45" t="str">
            <v>Maçonnerie de moellons hourdée au mortier de ciment 300kg/m3</v>
          </cell>
          <cell r="D45" t="str">
            <v>m3</v>
          </cell>
          <cell r="E45">
            <v>120696</v>
          </cell>
          <cell r="F45">
            <v>36.574545454545458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C46" t="str">
            <v>Maçonnerie de parpaings de 20x20x40 cm (ép. 20 cm)</v>
          </cell>
          <cell r="D46" t="str">
            <v>m2</v>
          </cell>
          <cell r="E46">
            <v>55240</v>
          </cell>
          <cell r="F46">
            <v>16.739393939393938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C47" t="str">
            <v>Maçonnerie de parpaings de 10x20x40 cm (ép. 10 cm)</v>
          </cell>
          <cell r="D47" t="str">
            <v>m2</v>
          </cell>
          <cell r="E47">
            <v>35600</v>
          </cell>
          <cell r="F47">
            <v>10.787878787878787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C48" t="str">
            <v>Maçonnerie de brique cuites, hourdée au mortier de ciment, d'ép. 0,22m</v>
          </cell>
          <cell r="D48" t="str">
            <v>m2</v>
          </cell>
          <cell r="E48">
            <v>28620</v>
          </cell>
          <cell r="F48">
            <v>8.672727272727272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C49" t="str">
            <v>Maçonnerie de brique cuites, hourdée au mortier de ciment, d'ép. 0,35m</v>
          </cell>
          <cell r="D49" t="str">
            <v>m3</v>
          </cell>
          <cell r="E49">
            <v>105740</v>
          </cell>
          <cell r="F49">
            <v>32.042424242424239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C50" t="str">
            <v>Carreaux en faïence de 20x30</v>
          </cell>
          <cell r="D50" t="str">
            <v>m2</v>
          </cell>
          <cell r="E50">
            <v>74250</v>
          </cell>
          <cell r="F50">
            <v>22.5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C52" t="str">
            <v>Divers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C53" t="str">
            <v>Regard 40x40x60 avec fond, parois et tampon en BA avec système de fermeture métallique cadenassé</v>
          </cell>
          <cell r="D53" t="str">
            <v>U</v>
          </cell>
          <cell r="E53">
            <v>63000</v>
          </cell>
          <cell r="F53">
            <v>19.09090909090909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C54" t="str">
            <v>Regard 60x60x60 avec fond, parois et tampon en BA avec système de fermeture métallique cadenassé</v>
          </cell>
          <cell r="D54" t="str">
            <v>U</v>
          </cell>
          <cell r="E54">
            <v>69600</v>
          </cell>
          <cell r="F54">
            <v>21.09090909090909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C55" t="str">
            <v>Regard 60x60x150 avec fond, parois et tampon en BA avec avec système de fermeture métallique cadenassé</v>
          </cell>
          <cell r="D55" t="str">
            <v>U</v>
          </cell>
          <cell r="E55">
            <v>124500</v>
          </cell>
          <cell r="F55">
            <v>37.727272727272727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C56" t="str">
            <v>Regard de captage 120/80 en béton armé</v>
          </cell>
          <cell r="D56" t="str">
            <v>U</v>
          </cell>
          <cell r="E56">
            <v>156000</v>
          </cell>
          <cell r="F56">
            <v>47.272727272727273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C57" t="str">
            <v>Buse pleine armé dosé à 350kg/m3 diamètre 2000</v>
          </cell>
          <cell r="D57" t="str">
            <v>U</v>
          </cell>
          <cell r="E57">
            <v>113200</v>
          </cell>
          <cell r="F57">
            <v>34.303030303030305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C58" t="str">
            <v>Buse armé perforé dosé à 350kg/m3 diamètre 2000</v>
          </cell>
          <cell r="D58" t="str">
            <v>U</v>
          </cell>
          <cell r="E58">
            <v>152900</v>
          </cell>
          <cell r="F58">
            <v>46.333333333333336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C59" t="str">
            <v>Buses armé dosé à 350kg/m3 barbacannées armée diamètre 2000</v>
          </cell>
          <cell r="D59" t="str">
            <v>U</v>
          </cell>
          <cell r="E59">
            <v>178500</v>
          </cell>
          <cell r="F59">
            <v>54.090909090909093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C60" t="str">
            <v>Puisard absorbant de section 0,7x0,7m et de profondeur 1,00m avec tampon en BA avec avec système de fermeture métallique cadenassé</v>
          </cell>
          <cell r="D60" t="str">
            <v>U</v>
          </cell>
          <cell r="E60">
            <v>71200</v>
          </cell>
          <cell r="F60">
            <v>21.575757575757574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C61" t="str">
            <v>Canne d'ancrage en fer diamètre 12</v>
          </cell>
          <cell r="D61" t="str">
            <v>U</v>
          </cell>
          <cell r="E61">
            <v>11080</v>
          </cell>
          <cell r="F61">
            <v>3.3575757575757574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C62" t="str">
            <v>Gravier filtre (12/18,8/12,4/8)</v>
          </cell>
          <cell r="D62" t="str">
            <v>m3</v>
          </cell>
          <cell r="E62">
            <v>35250</v>
          </cell>
          <cell r="F62">
            <v>10.681818181818182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C63" t="str">
            <v>Gravier (30-40)</v>
          </cell>
          <cell r="D63" t="str">
            <v>m3</v>
          </cell>
          <cell r="E63">
            <v>37500</v>
          </cell>
          <cell r="F63">
            <v>11.363636363636363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C64" t="str">
            <v>Pierre (50-100)</v>
          </cell>
          <cell r="D64" t="str">
            <v>m3</v>
          </cell>
          <cell r="E64">
            <v>48200</v>
          </cell>
          <cell r="F64">
            <v>14.606060606060606</v>
          </cell>
          <cell r="H64">
            <v>0</v>
          </cell>
          <cell r="I64">
            <v>0</v>
          </cell>
          <cell r="J64">
            <v>0</v>
          </cell>
        </row>
        <row r="65">
          <cell r="C65" t="str">
            <v>Joint type waterstop</v>
          </cell>
          <cell r="D65" t="str">
            <v>ml</v>
          </cell>
          <cell r="E65">
            <v>57900</v>
          </cell>
          <cell r="F65">
            <v>17.545454545454547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C66" t="str">
            <v>Poutrelle de vanne batardable</v>
          </cell>
          <cell r="D66" t="str">
            <v>m2</v>
          </cell>
          <cell r="E66">
            <v>189000</v>
          </cell>
          <cell r="F66">
            <v>57.272727272727273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C67" t="str">
            <v>Gabion de 1x1x2 m, maille galvanisé 60x80cm, 3mm</v>
          </cell>
          <cell r="D67" t="str">
            <v>U</v>
          </cell>
          <cell r="E67">
            <v>950000</v>
          </cell>
          <cell r="F67">
            <v>287.87878787878788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C68" t="str">
            <v>Gabion semelle de 0,5x1,5x2m maille galvanisé 60x80cm, 3mm</v>
          </cell>
          <cell r="D68" t="str">
            <v>U</v>
          </cell>
          <cell r="E68">
            <v>475000</v>
          </cell>
          <cell r="F68">
            <v>143.93939393939394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C69" t="str">
            <v>Couche de blocage d'ép.20</v>
          </cell>
          <cell r="D69" t="str">
            <v>U</v>
          </cell>
          <cell r="E69">
            <v>49320</v>
          </cell>
          <cell r="F69">
            <v>14.945454545454545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C70" t="str">
            <v>Fourniture et Fourniture et pose de sable moyen à grossier, gravier filtre et charbon</v>
          </cell>
          <cell r="D70" t="str">
            <v>U</v>
          </cell>
          <cell r="E70">
            <v>42780</v>
          </cell>
          <cell r="F70">
            <v>12.963636363636363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C71" t="str">
            <v>Fourniture et Fourniture et pose de buselure pour dalle placée en quinconce</v>
          </cell>
          <cell r="D71" t="str">
            <v>u</v>
          </cell>
          <cell r="E71">
            <v>29040</v>
          </cell>
          <cell r="F71">
            <v>8.8000000000000007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C72" t="str">
            <v>Regard 200X100X80 avec fond, parois en BA et tampon metallique avec systme de fermeture cadenassé</v>
          </cell>
          <cell r="D72" t="str">
            <v>u</v>
          </cell>
          <cell r="E72">
            <v>1125000</v>
          </cell>
          <cell r="F72">
            <v>340.90909090909093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C73" t="str">
            <v>Produit chlorant y compris frais divers pour une periode de douze mois V2</v>
          </cell>
          <cell r="D73" t="str">
            <v>Ens.</v>
          </cell>
          <cell r="E73">
            <v>1144275</v>
          </cell>
          <cell r="F73">
            <v>346.75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C74" t="str">
            <v>Produit chlorant y compris frais divers pour une periode de douze mois V1</v>
          </cell>
          <cell r="D74" t="str">
            <v>Ens.</v>
          </cell>
          <cell r="E74">
            <v>832055.39362926991</v>
          </cell>
          <cell r="F74">
            <v>252.13799806947574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C76" t="str">
            <v>Sécurisation des ouvrages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C77" t="str">
            <v>Fourniture, façonnage et Fourniture et pose de clôture en bois dur</v>
          </cell>
          <cell r="D77" t="str">
            <v>ml</v>
          </cell>
          <cell r="E77">
            <v>22500</v>
          </cell>
          <cell r="F77">
            <v>6.8181818181818183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5250000</v>
          </cell>
        </row>
        <row r="78">
          <cell r="C78" t="str">
            <v>Clôture métallique H. 250 cm</v>
          </cell>
          <cell r="D78" t="str">
            <v>ml</v>
          </cell>
          <cell r="E78">
            <v>70000</v>
          </cell>
          <cell r="F78">
            <v>21.212121212121211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1050000</v>
          </cell>
        </row>
        <row r="79">
          <cell r="C79" t="str">
            <v>Portail d'accès métallique 150x250</v>
          </cell>
          <cell r="D79" t="str">
            <v>ut</v>
          </cell>
          <cell r="E79">
            <v>420000</v>
          </cell>
          <cell r="F79">
            <v>127.27272727272727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6300000</v>
          </cell>
        </row>
        <row r="80">
          <cell r="C80" t="str">
            <v>Portail d'accès en bois dur de  75x85, avec système de fermeture cadenassé</v>
          </cell>
          <cell r="D80" t="str">
            <v>ut</v>
          </cell>
          <cell r="E80">
            <v>14500</v>
          </cell>
          <cell r="F80">
            <v>4.3939393939393936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2520000</v>
          </cell>
        </row>
        <row r="81">
          <cell r="C81" t="str">
            <v>Portail métallique grillagé de 100x200 cm</v>
          </cell>
          <cell r="D81" t="str">
            <v>ut</v>
          </cell>
          <cell r="E81">
            <v>520000</v>
          </cell>
          <cell r="F81">
            <v>157.57575757575756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8820000</v>
          </cell>
        </row>
        <row r="82">
          <cell r="C82" t="str">
            <v>Fourniture et pose système de fermeture pour regard de vanne</v>
          </cell>
          <cell r="D82" t="str">
            <v>U</v>
          </cell>
          <cell r="E82">
            <v>85000</v>
          </cell>
          <cell r="F82">
            <v>25.757575757575758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5250000</v>
          </cell>
        </row>
        <row r="83">
          <cell r="C83" t="str">
            <v>Tapis de gravier</v>
          </cell>
          <cell r="D83" t="str">
            <v>m2</v>
          </cell>
          <cell r="E83">
            <v>23000</v>
          </cell>
          <cell r="F83">
            <v>6.9696969696969697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1050000</v>
          </cell>
        </row>
        <row r="84">
          <cell r="C84" t="str">
            <v>Grille galvanisé de 20x20</v>
          </cell>
          <cell r="D84" t="str">
            <v>ut</v>
          </cell>
          <cell r="E84">
            <v>25000</v>
          </cell>
          <cell r="F84">
            <v>7.5757575757575761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6300000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2520000</v>
          </cell>
        </row>
        <row r="86">
          <cell r="C86" t="str">
            <v>SERIE 200 - MENUISERIE, PEINTURE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22400000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C88" t="str">
            <v>Charpente et Menuiserie en bois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C89" t="str">
            <v>Charpente en madrier de 6x16 cm</v>
          </cell>
          <cell r="D89" t="str">
            <v>m3</v>
          </cell>
          <cell r="E89">
            <v>750000</v>
          </cell>
          <cell r="F89">
            <v>227.27272727272728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C90" t="str">
            <v>Entretoise et blochet en bois carré de 6x6 cm</v>
          </cell>
          <cell r="D90" t="str">
            <v>m3</v>
          </cell>
          <cell r="E90">
            <v>560000</v>
          </cell>
          <cell r="F90">
            <v>169.69696969696969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C91" t="str">
            <v>Planche de rive de 20x3 cm</v>
          </cell>
          <cell r="D91" t="str">
            <v>ml</v>
          </cell>
          <cell r="E91">
            <v>19552</v>
          </cell>
          <cell r="F91">
            <v>5.9248484848484848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22400000</v>
          </cell>
        </row>
        <row r="92">
          <cell r="C92" t="str">
            <v>Couverture en tôles ondulées galvanisées 63/100e</v>
          </cell>
          <cell r="D92" t="str">
            <v>m2</v>
          </cell>
          <cell r="E92">
            <v>49556</v>
          </cell>
          <cell r="F92">
            <v>15.016969696969698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C93" t="str">
            <v>Plafond volige pin de 15x100 y compris gorge moulée 5x5 cm</v>
          </cell>
          <cell r="D93" t="str">
            <v>m2</v>
          </cell>
          <cell r="E93">
            <v>20982</v>
          </cell>
          <cell r="F93">
            <v>6.3581818181818184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C94" t="str">
            <v>Couverture en tôle galvanisée 63/100e</v>
          </cell>
          <cell r="D94" t="str">
            <v>m2</v>
          </cell>
          <cell r="E94">
            <v>49556</v>
          </cell>
          <cell r="F94">
            <v>15.016969696969698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C95" t="str">
            <v xml:space="preserve">Chêneau en PVC compris accessoires de fixation </v>
          </cell>
          <cell r="D95" t="str">
            <v>ml</v>
          </cell>
          <cell r="E95">
            <v>56100</v>
          </cell>
          <cell r="F95">
            <v>17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C96" t="str">
            <v xml:space="preserve">Descente d'eaux pluviales en PVC Ø 100mm </v>
          </cell>
          <cell r="D96" t="str">
            <v>ml</v>
          </cell>
          <cell r="E96">
            <v>45400</v>
          </cell>
          <cell r="F96">
            <v>13.757575757575758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C97" t="str">
            <v>Conduite d'aération PVC DN100</v>
          </cell>
          <cell r="D97" t="str">
            <v>ml</v>
          </cell>
          <cell r="E97">
            <v>50200</v>
          </cell>
          <cell r="F97">
            <v>15.212121212121213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C98" t="str">
            <v>Grillage en métal déployé y compris cadre en bois de 5x2 cm pour fixation</v>
          </cell>
          <cell r="D98" t="str">
            <v>m2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C99" t="str">
            <v>Grillage anti moustique y compris cadre en bois de 5x2 cm pour fixation</v>
          </cell>
          <cell r="D99" t="str">
            <v>m2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C100" t="str">
            <v>Porte pleine à 2 vantaux 180x220 cm</v>
          </cell>
          <cell r="D100" t="str">
            <v>U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C101" t="str">
            <v>Porte pleine à un vantail 80x210 cm</v>
          </cell>
          <cell r="D101" t="str">
            <v>U</v>
          </cell>
          <cell r="E101">
            <v>284388</v>
          </cell>
          <cell r="F101">
            <v>86.178181818181812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C102" t="str">
            <v>Porte pleine à un vantail 150x210 cm</v>
          </cell>
          <cell r="D102" t="str">
            <v>U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C103" t="str">
            <v>Volet plein à 2 vantaux 140x110 cm</v>
          </cell>
          <cell r="D103" t="str">
            <v>U</v>
          </cell>
          <cell r="E103">
            <v>94200</v>
          </cell>
          <cell r="F103">
            <v>28.545454545454547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C104" t="str">
            <v>Porte pleine à un vantail 80x210 cm</v>
          </cell>
          <cell r="D104" t="str">
            <v>U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C105" t="str">
            <v>Fenêtre de 120x120 cm à 2 vantaux</v>
          </cell>
          <cell r="D105" t="str">
            <v>U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C106" t="str">
            <v>Fenêtre de 50x50 cm à 1 vantail</v>
          </cell>
          <cell r="D106" t="str">
            <v>U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C107" t="str">
            <v xml:space="preserve">Châssis vitré 100x100 cm à 2 vantaux </v>
          </cell>
          <cell r="D107" t="str">
            <v>U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C108" t="str">
            <v xml:space="preserve">Châssis vitré 140x120 cm à 2 vantaux </v>
          </cell>
          <cell r="D108" t="str">
            <v>U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C110" t="str">
            <v>Menuiserie métallique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C111" t="str">
            <v>Porte pleine métallique de 200x210 cm à 2 vantaux</v>
          </cell>
          <cell r="D111" t="str">
            <v>U</v>
          </cell>
          <cell r="E111">
            <v>206999.99999999997</v>
          </cell>
          <cell r="F111">
            <v>62.72727272727272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C112" t="str">
            <v>Porte pleine métallique de 80x210 cm vec cadre et bâti en fer cornière 35/35/4 et 2/3 de panneau en TPN 15/10, 1/3 grillé en  fer tor 10 espacé de 5 cm, y compris pattes à scellement, paumelles 140, tirette et 2 serrures de surêté type vachette , applicat</v>
          </cell>
          <cell r="D112" t="str">
            <v>U</v>
          </cell>
          <cell r="E112">
            <v>373125</v>
          </cell>
          <cell r="F112">
            <v>113.06818181818181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C113" t="str">
            <v>Porte pleine métallique de 80x100 cm</v>
          </cell>
          <cell r="D113" t="str">
            <v>U</v>
          </cell>
          <cell r="E113">
            <v>180000</v>
          </cell>
          <cell r="F113">
            <v>54.545454545454547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C114" t="str">
            <v>Fenêtre pleine métallique de 100x100 cm à 2 vantaux</v>
          </cell>
          <cell r="D114" t="str">
            <v>U</v>
          </cell>
          <cell r="E114">
            <v>216000</v>
          </cell>
          <cell r="F114">
            <v>65.454545454545453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C115" t="str">
            <v>Fourniture métallique diverse (grille, clous, fer ….)</v>
          </cell>
          <cell r="D115" t="str">
            <v>Kg</v>
          </cell>
          <cell r="E115">
            <v>13000</v>
          </cell>
          <cell r="F115">
            <v>3.9393939393939394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C116" t="str">
            <v>Fourniture  d'échelle en aluminium de largeur 0,40m et de longueur</v>
          </cell>
          <cell r="D116" t="str">
            <v>ml</v>
          </cell>
          <cell r="E116">
            <v>117000</v>
          </cell>
          <cell r="F116">
            <v>35.454545454545453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C117" t="str">
            <v>Trappe d'accés métallique 80x80 avec serrure cadenassé</v>
          </cell>
          <cell r="D117" t="str">
            <v>U</v>
          </cell>
          <cell r="E117">
            <v>115000</v>
          </cell>
          <cell r="F117">
            <v>34.848484848484851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C118" t="str">
            <v>Grille de protection de dimension 0,80x0,90 avec cadre en fer cornière 35/35/4 et motif en tube carrée de 20x20 espacé de 15cm</v>
          </cell>
          <cell r="D118" t="str">
            <v>U</v>
          </cell>
          <cell r="E118">
            <v>148356</v>
          </cell>
          <cell r="F118">
            <v>44.956363636363633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C119" t="str">
            <v>Cadenas</v>
          </cell>
          <cell r="D119" t="str">
            <v>U</v>
          </cell>
          <cell r="E119">
            <v>16000</v>
          </cell>
          <cell r="F119">
            <v>4.8484848484848486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C120" t="str">
            <v>Charnière</v>
          </cell>
          <cell r="D120" t="str">
            <v>Paire</v>
          </cell>
          <cell r="E120">
            <v>10850</v>
          </cell>
          <cell r="F120">
            <v>3.2878787878787881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C121" t="str">
            <v>Porte cadenas</v>
          </cell>
          <cell r="D121" t="str">
            <v>U</v>
          </cell>
          <cell r="E121">
            <v>12000</v>
          </cell>
          <cell r="F121">
            <v>3.6363636363636362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C122" t="str">
            <v>Grille en acier galvanisé de 30x20 de cadre en fer cornière de 25x25x2, application d'anti-rouille</v>
          </cell>
          <cell r="D122" t="str">
            <v>U</v>
          </cell>
          <cell r="E122">
            <v>98000</v>
          </cell>
          <cell r="F122">
            <v>29.696969696969695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C123" t="str">
            <v>Grille en acier galvanisé de 20x20 de cadre en fer cornière de 25x25x2, application d'anti-rouille</v>
          </cell>
          <cell r="D123" t="str">
            <v>U</v>
          </cell>
          <cell r="E123">
            <v>78000</v>
          </cell>
          <cell r="F123">
            <v>23.636363636363637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C124" t="str">
            <v xml:space="preserve">Grille métallique en cadre L 50 x 50 avec fer rond  Ф12 pour Fourniture et pose seau de dimension 50 x 50 </v>
          </cell>
          <cell r="D124" t="str">
            <v>Ens.</v>
          </cell>
          <cell r="E124">
            <v>125500</v>
          </cell>
          <cell r="F124">
            <v>38.030303030303031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C125" t="str">
            <v>Grille métallique en cadre L 200 x 30 avec fer rond  Ф12 pour couvercle canniveau</v>
          </cell>
          <cell r="D125" t="str">
            <v>Ens.</v>
          </cell>
          <cell r="E125">
            <v>189000</v>
          </cell>
          <cell r="F125">
            <v>57.272727272727273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C126" t="str">
            <v>Fourniture métallique diverse (système de fermeture, ...)</v>
          </cell>
          <cell r="D126" t="str">
            <v>Kg</v>
          </cell>
          <cell r="E126">
            <v>14800</v>
          </cell>
          <cell r="F126">
            <v>4.4848484848484844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C127" t="str">
            <v>Echelle en aluminium démontable de largeur 0,40m</v>
          </cell>
          <cell r="D127" t="str">
            <v>ml</v>
          </cell>
          <cell r="E127">
            <v>123500</v>
          </cell>
          <cell r="F127">
            <v>37.424242424242422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C128" t="str">
            <v>Echelle métallique de 0,40m encastré  dans le béton, y compris anti-rouille</v>
          </cell>
          <cell r="D128" t="str">
            <v>ml</v>
          </cell>
          <cell r="E128">
            <v>47500</v>
          </cell>
          <cell r="F128">
            <v>14.393939393939394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C129" t="str">
            <v>Trappe d'accés métallique 40x40 avec serrure Cadenassé</v>
          </cell>
          <cell r="D129" t="str">
            <v>U</v>
          </cell>
          <cell r="E129">
            <v>98000</v>
          </cell>
          <cell r="F129">
            <v>29.696969696969695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C130" t="str">
            <v xml:space="preserve">Fourniture et Fourniture et pose  de porte  métallique pleine  en TPN 15/10, à 1 vantail de 0,70x1,80, assemblé par soudure, avec montant et traverses en  tube carré de 40*40*3 ; bâti en fer cornière 45*45*4, comprenant toute les quincailleries (pattes à </v>
          </cell>
          <cell r="D130" t="str">
            <v>U</v>
          </cell>
          <cell r="E130">
            <v>520000</v>
          </cell>
          <cell r="F130">
            <v>157.57575757575756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C131" t="str">
            <v>Fourniture et Fourniture et pose  de fenêtre  métallique pleine  en TPN 15/10 , à 2 vantaux de 0,70x 1,00 assemblé par soudure, avec montant et traverses en  tube carré de 40*40*3 ; bâti en fer cornière 45*45*4, comprenant toute les quincailleries (pattes</v>
          </cell>
          <cell r="D131" t="str">
            <v>U</v>
          </cell>
          <cell r="E131">
            <v>450000</v>
          </cell>
          <cell r="F131">
            <v>136.36363636363637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C132" t="str">
            <v>Grille métallique  en fer TOR 12 de 0,40m de largeur cadre en fer cornière de 30*30*2, entraxe 3cm</v>
          </cell>
          <cell r="D132" t="str">
            <v>U</v>
          </cell>
          <cell r="E132">
            <v>185000</v>
          </cell>
          <cell r="F132">
            <v>56.060606060606062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C133" t="str">
            <v>Fourniture et Fourniture et pose plaque technique y compris toute accessoire de sujetions</v>
          </cell>
          <cell r="D133" t="str">
            <v>U</v>
          </cell>
          <cell r="E133">
            <v>175000</v>
          </cell>
          <cell r="F133">
            <v>53.030303030303031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C134" t="str">
            <v>Fourniture plaque de visibilité</v>
          </cell>
          <cell r="D134" t="str">
            <v>U</v>
          </cell>
          <cell r="E134">
            <v>125000</v>
          </cell>
          <cell r="F134">
            <v>37.878787878787875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C135" t="str">
            <v>Fourniture et pose plaque de visibilité</v>
          </cell>
          <cell r="D135" t="str">
            <v>U</v>
          </cell>
          <cell r="E135">
            <v>15000</v>
          </cell>
          <cell r="F135">
            <v>4.5454545454545459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C137" t="str">
            <v>Peinture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C138" t="str">
            <v>Badigeonnage à la chaux grasse appliquée en 2 couches pour couche d'impression</v>
          </cell>
          <cell r="D138" t="str">
            <v>m2</v>
          </cell>
          <cell r="E138">
            <v>2060</v>
          </cell>
          <cell r="F138">
            <v>0.62424242424242427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C139" t="str">
            <v>Peinture à l'huile appliquée en 2 couches sur support bois</v>
          </cell>
          <cell r="D139" t="str">
            <v>m2</v>
          </cell>
          <cell r="E139">
            <v>9290</v>
          </cell>
          <cell r="F139">
            <v>2.815151515151515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C140" t="str">
            <v>Peinture glycérophtalique appliquée en 2 couches avec impression anti-rouille y compris tous travaux préparatoires de la surface à peindre</v>
          </cell>
          <cell r="D140" t="str">
            <v>m2</v>
          </cell>
          <cell r="E140">
            <v>9850</v>
          </cell>
          <cell r="F140">
            <v>2.9848484848484849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C141" t="str">
            <v>Peinture vinylique appliquée en 2 couches sur couche d'impression y compris tous travaux préparatoires de la surface à peindre</v>
          </cell>
          <cell r="D141" t="str">
            <v>m2</v>
          </cell>
          <cell r="E141">
            <v>8520</v>
          </cell>
          <cell r="F141">
            <v>2.581818181818182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C142" t="str">
            <v>Application de SIKATOP  en 2 couches, pour étanchéité et peinture  y compris tous travaux préparatoires de la surface à peindre</v>
          </cell>
          <cell r="D142" t="str">
            <v>m2</v>
          </cell>
          <cell r="E142">
            <v>20566</v>
          </cell>
          <cell r="F142">
            <v>6.2321212121212124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C144" t="str">
            <v>Vitrerie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C145" t="str">
            <v>Verre à vitre  double de 4 mm d'épaisseur y compris pare close en bois</v>
          </cell>
          <cell r="D145" t="str">
            <v>m2</v>
          </cell>
          <cell r="E145">
            <v>66250</v>
          </cell>
          <cell r="F145">
            <v>20.075757575757574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C148" t="str">
            <v>SERIE 300 - EQUIPEMENTS ELECTROMECANIQUES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C150" t="str">
            <v>Fourniture de la Pompe submersible à alimentation solaire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C151" t="str">
            <v>Fourniture et Fourniture et pose de pompe de surface et alimentation solaire Q=4,6m3/h HMT= 90m</v>
          </cell>
          <cell r="D151" t="str">
            <v>Ens.</v>
          </cell>
          <cell r="E151">
            <v>20856000</v>
          </cell>
          <cell r="F151">
            <v>14320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C152" t="str">
            <v>Fourniture et pose de pompe de surface et alimentation solaire Q=14,5m3/h HMT= 100m</v>
          </cell>
          <cell r="D152" t="str">
            <v>Ens.</v>
          </cell>
          <cell r="E152">
            <v>85387499.999999985</v>
          </cell>
          <cell r="F152">
            <v>25874.999999999996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C153" t="str">
            <v>Fourniture et pose de pompe de surface electrique Q=12m3/h  HMT= 100m</v>
          </cell>
          <cell r="D153" t="str">
            <v>Ens.</v>
          </cell>
          <cell r="E153">
            <v>23154120</v>
          </cell>
          <cell r="F153">
            <v>7016.4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C154" t="str">
            <v>Fourniture et pose de groupe electrogène P= 8 KVA</v>
          </cell>
          <cell r="D154" t="str">
            <v>Ens.</v>
          </cell>
          <cell r="E154">
            <v>16005000</v>
          </cell>
          <cell r="F154">
            <v>4850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C155" t="str">
            <v>Installation Jirama</v>
          </cell>
          <cell r="D155" t="str">
            <v>Ens.</v>
          </cell>
          <cell r="E155">
            <v>1000000</v>
          </cell>
          <cell r="F155">
            <v>303.030303030303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C157" t="str">
            <v>Fourniture de la Pompe doseuse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C158" t="str">
            <v>Fourniture et pose pompe doseuse (DOSATRON), Q=4,5m3/h, avec toute accessoire (pompe, bac de chlore, raccordement, …)</v>
          </cell>
          <cell r="D158" t="str">
            <v>Ens.</v>
          </cell>
          <cell r="E158">
            <v>4780500</v>
          </cell>
          <cell r="F158">
            <v>6320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C160" t="str">
            <v>SERIE 400 - CONSTRUCTION  DE FORAGE ou PUITS  ET EQUIPEMENT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C163" t="str">
            <v>Equipement tête de puits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C164" t="str">
            <v>Equipement tête de puits (amorce conduite,vanne anti-retour, etc…)</v>
          </cell>
          <cell r="D164" t="str">
            <v>Ens.</v>
          </cell>
          <cell r="E164">
            <v>3547500</v>
          </cell>
          <cell r="F164">
            <v>1075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C165" t="str">
            <v>Equipement tête de puits (amorce conduite,vanne anti-retour, débimêtre, etc…) projet AEP-S</v>
          </cell>
          <cell r="D165" t="str">
            <v>Ens.</v>
          </cell>
          <cell r="E165">
            <v>3547500</v>
          </cell>
          <cell r="F165">
            <v>1075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C167" t="str">
            <v>SERIE 500 - TRAVAUX DE RESEAUX EN TRANCHEE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C169" t="str">
            <v>Fouilles en tranchées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C170" t="str">
            <v>Déblai en tranchée pour conduite de DN20 à DN75</v>
          </cell>
          <cell r="D170" t="str">
            <v>ml</v>
          </cell>
          <cell r="E170">
            <v>860</v>
          </cell>
          <cell r="F170">
            <v>0.26060606060606062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C171" t="str">
            <v>Déblai en tranchée pour conduite de DN75 à DN 100</v>
          </cell>
          <cell r="D171" t="str">
            <v>ml</v>
          </cell>
          <cell r="E171">
            <v>1005</v>
          </cell>
          <cell r="F171">
            <v>0.30454545454545456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C172" t="str">
            <v>Déblai en tranchée pour conduite de DN100 et plus</v>
          </cell>
          <cell r="D172" t="str">
            <v>ml</v>
          </cell>
          <cell r="E172">
            <v>1150</v>
          </cell>
          <cell r="F172">
            <v>0.34848484848484851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C173" t="str">
            <v>Déroctage</v>
          </cell>
          <cell r="D173" t="str">
            <v>m3</v>
          </cell>
          <cell r="E173">
            <v>23000</v>
          </cell>
          <cell r="F173">
            <v>6.9696969696969697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C175" t="str">
            <v>Remblaiement des tranchées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C176" t="str">
            <v xml:space="preserve">Remblai compacté à l'aide de matériaux provenant des fouilles. </v>
          </cell>
          <cell r="D176" t="str">
            <v>ml</v>
          </cell>
          <cell r="E176">
            <v>1630</v>
          </cell>
          <cell r="F176">
            <v>0.49393939393939396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C177" t="str">
            <v>Remblai compacté à l'aide de matériaux d'apport</v>
          </cell>
          <cell r="D177" t="str">
            <v>ml</v>
          </cell>
          <cell r="E177">
            <v>1780</v>
          </cell>
          <cell r="F177">
            <v>0.53939393939393943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C179" t="str">
            <v>Ouvrage de franchissement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C180" t="str">
            <v>Berceau en béton armé pour conduite DN 90</v>
          </cell>
          <cell r="D180" t="str">
            <v>ml</v>
          </cell>
          <cell r="E180">
            <v>141000</v>
          </cell>
          <cell r="F180">
            <v>42.727272727272727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C181" t="str">
            <v>Berceau en béton armé pour conduite DN 75</v>
          </cell>
          <cell r="D181" t="str">
            <v>ml</v>
          </cell>
          <cell r="E181">
            <v>129500</v>
          </cell>
          <cell r="F181">
            <v>39.242424242424242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C182" t="str">
            <v>Berceau en béton armé pour conduite DN 63</v>
          </cell>
          <cell r="D182" t="str">
            <v>ml</v>
          </cell>
          <cell r="E182">
            <v>121200</v>
          </cell>
          <cell r="F182">
            <v>36.727272727272727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C183" t="str">
            <v>Berceau en béton armé pour conduite DN 50</v>
          </cell>
          <cell r="D183" t="str">
            <v>ml</v>
          </cell>
          <cell r="E183">
            <v>120000</v>
          </cell>
          <cell r="F183">
            <v>36.363636363636367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C184" t="str">
            <v>Berceau en béton armé pour conduite DN 40</v>
          </cell>
          <cell r="D184" t="str">
            <v>ml</v>
          </cell>
          <cell r="E184">
            <v>114000</v>
          </cell>
          <cell r="F184">
            <v>34.545454545454547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C186" t="str">
            <v>SERIE 600 - CANALISATION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 t="str">
            <v>FOURNITURE ET POSE DE TUYAU PVC EVACUATION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C189" t="str">
            <v>Fourniture et pose de tuyau d'évacuation en PVC 100</v>
          </cell>
          <cell r="D189" t="str">
            <v>ml</v>
          </cell>
          <cell r="E189">
            <v>4615</v>
          </cell>
          <cell r="F189">
            <v>1.3984848484848484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C190" t="str">
            <v>Fourniture et pose de tuyau d'évacuation en PVC 90</v>
          </cell>
          <cell r="D190" t="str">
            <v>ml</v>
          </cell>
          <cell r="E190">
            <v>5538</v>
          </cell>
          <cell r="F190">
            <v>1.6781818181818182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C191" t="str">
            <v>Fourniture et pose de tuyau d'évacuation en PVC 75</v>
          </cell>
          <cell r="D191" t="str">
            <v>ml</v>
          </cell>
          <cell r="E191">
            <v>7754</v>
          </cell>
          <cell r="F191">
            <v>2.3496969696969696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C192" t="str">
            <v>Fourniture et pose de tuyau d'évacuation en PVC 63</v>
          </cell>
          <cell r="D192" t="str">
            <v>ml</v>
          </cell>
          <cell r="E192">
            <v>4062</v>
          </cell>
          <cell r="F192">
            <v>1.230909090909091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C193" t="str">
            <v>Fourniture et de tuyau d'évacuation en PVC 50</v>
          </cell>
          <cell r="D193" t="str">
            <v>ml</v>
          </cell>
          <cell r="E193">
            <v>3323</v>
          </cell>
          <cell r="F193">
            <v>1.0069696969696971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C194" t="str">
            <v>Fourniture et de tuyau d'évacuation en PVC 40</v>
          </cell>
          <cell r="D194" t="str">
            <v>ml</v>
          </cell>
          <cell r="E194">
            <v>2769</v>
          </cell>
          <cell r="F194">
            <v>0.83909090909090911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 t="str">
            <v>Fourniture et de tuyau d'évacuation en PVC 32</v>
          </cell>
          <cell r="D195" t="str">
            <v>ml</v>
          </cell>
          <cell r="E195">
            <v>1385</v>
          </cell>
          <cell r="F195">
            <v>0.41969696969696968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C197" t="str">
            <v xml:space="preserve"> FOURNITURE ET Fourniture et pose TUYAUTERIE PEHD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C198" t="str">
            <v>Fourniture de tuyaux PEHD DN 90 PN 12,5</v>
          </cell>
          <cell r="D198" t="str">
            <v>ml</v>
          </cell>
          <cell r="E198">
            <v>14550</v>
          </cell>
          <cell r="F198">
            <v>4.4090909090909092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 t="str">
            <v>Fourniture de tuyaux PEHD DN 75 PN 12,5</v>
          </cell>
          <cell r="D199" t="str">
            <v>ml</v>
          </cell>
          <cell r="E199">
            <v>12988.8</v>
          </cell>
          <cell r="F199">
            <v>3.9359999999999999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C200" t="str">
            <v>Fourniture de tuyaux PEHD DN 63 PN 12,5</v>
          </cell>
          <cell r="D200" t="str">
            <v>ml</v>
          </cell>
          <cell r="E200">
            <v>9581.9760000000006</v>
          </cell>
          <cell r="F200">
            <v>2.9036290909090909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 t="str">
            <v>Fourniture de tuyaux PEHD DN 50 PN 12,5</v>
          </cell>
          <cell r="D201" t="str">
            <v>ml</v>
          </cell>
          <cell r="E201">
            <v>6148.8</v>
          </cell>
          <cell r="F201">
            <v>1.8632727272727274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C202" t="str">
            <v>Fourniture de tuyaux PEHD DN 40 PN 12,5</v>
          </cell>
          <cell r="D202" t="str">
            <v>ml</v>
          </cell>
          <cell r="E202">
            <v>3466.3620000000001</v>
          </cell>
          <cell r="F202">
            <v>1.0504127272727273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C203" t="str">
            <v>Fourniture de tuyaux PEHD DN 32 PN 12,5</v>
          </cell>
          <cell r="D203" t="str">
            <v>ml</v>
          </cell>
          <cell r="E203">
            <v>2472</v>
          </cell>
          <cell r="F203">
            <v>0.74909090909090914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C204" t="str">
            <v>Fourniture de tuyaux PEHD DN 25 PN 12,5</v>
          </cell>
          <cell r="D204" t="str">
            <v>ml</v>
          </cell>
          <cell r="E204">
            <v>2124.0480000000002</v>
          </cell>
          <cell r="F204">
            <v>0.64365090909090916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Fourniture de tuyaux PEHD DN 20 PN 12,5</v>
          </cell>
          <cell r="D205" t="str">
            <v>ml</v>
          </cell>
          <cell r="E205">
            <v>883.72800000000007</v>
          </cell>
          <cell r="F205">
            <v>0.26779636363636367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C206" t="str">
            <v>Fourniture de tuyaux PEHD DN 110 PN 10</v>
          </cell>
          <cell r="D206" t="str">
            <v>ml</v>
          </cell>
          <cell r="E206">
            <v>21087</v>
          </cell>
          <cell r="F206">
            <v>6.39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C207" t="str">
            <v>Fourniture de tuyaux PEHD DN 90 PN 10</v>
          </cell>
          <cell r="D207" t="str">
            <v>ml</v>
          </cell>
          <cell r="E207">
            <v>15472.079999999998</v>
          </cell>
          <cell r="F207">
            <v>4.6885090909090907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C208" t="str">
            <v>Fourniture de tuyaux PEHD DN 75 PN 10</v>
          </cell>
          <cell r="D208" t="str">
            <v>ml</v>
          </cell>
          <cell r="E208">
            <v>11088</v>
          </cell>
          <cell r="F208">
            <v>3.36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C209" t="str">
            <v>Fourniture de tuyaux PEHD DN 63 PN 10</v>
          </cell>
          <cell r="D209" t="str">
            <v>ml</v>
          </cell>
          <cell r="E209">
            <v>7738.848</v>
          </cell>
          <cell r="F209">
            <v>2.3451054545454544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C210" t="str">
            <v>Fourniture de tuyaux PEHD DN 50 PN 10</v>
          </cell>
          <cell r="D210" t="str">
            <v>ml</v>
          </cell>
          <cell r="E210">
            <v>4930.2</v>
          </cell>
          <cell r="F210">
            <v>1.494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</row>
        <row r="211">
          <cell r="C211" t="str">
            <v>Fourniture de tuyaux PEHD DN 40 PN 10</v>
          </cell>
          <cell r="D211" t="str">
            <v>ml</v>
          </cell>
          <cell r="E211">
            <v>3243.2640000000001</v>
          </cell>
          <cell r="F211">
            <v>0.98280727272727275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C212" t="str">
            <v>Fourniture de tuyaux PEHD DN 32 PN 10</v>
          </cell>
          <cell r="D212" t="str">
            <v>ml</v>
          </cell>
          <cell r="E212">
            <v>2360.4839999999999</v>
          </cell>
          <cell r="F212">
            <v>0.71529818181818183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C213" t="str">
            <v>Fourniture de tuyaux PEHD DN 25 PN 10</v>
          </cell>
          <cell r="D213" t="str">
            <v>ml</v>
          </cell>
          <cell r="E213">
            <v>1536</v>
          </cell>
          <cell r="F213">
            <v>0.46545454545454545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C215" t="str">
            <v xml:space="preserve"> FOURNITURE ET POSE DE TUYAUTERIE PEHD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C216" t="str">
            <v>Fourniture et pose de tuyaux PEHD DN 90 PN 12,5</v>
          </cell>
          <cell r="D216" t="str">
            <v>ml</v>
          </cell>
          <cell r="E216">
            <v>17460</v>
          </cell>
          <cell r="F216">
            <v>5.290909090909091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C217" t="str">
            <v>Fourniture et pose de tuyaux PEHD DN 75 PN 12,5</v>
          </cell>
          <cell r="D217" t="str">
            <v>ml</v>
          </cell>
          <cell r="E217">
            <v>15586</v>
          </cell>
          <cell r="F217">
            <v>4.7230303030303027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C218" t="str">
            <v>Fourniture et pose de tuyaux PEHD DN 63 PN 12,5</v>
          </cell>
          <cell r="D218" t="str">
            <v>ml</v>
          </cell>
          <cell r="E218">
            <v>11498</v>
          </cell>
          <cell r="F218">
            <v>3.4842424242424244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</row>
        <row r="219">
          <cell r="C219" t="str">
            <v>Fourniture et pose de tuyaux PEHD DN 50 PN 12,5</v>
          </cell>
          <cell r="D219" t="str">
            <v>ml</v>
          </cell>
          <cell r="E219">
            <v>7378</v>
          </cell>
          <cell r="F219">
            <v>2.2357575757575758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C220" t="str">
            <v>Fourniture et pose de tuyaux PEHD DN 40 PN 12,5</v>
          </cell>
          <cell r="D220" t="str">
            <v>ml</v>
          </cell>
          <cell r="E220">
            <v>4159</v>
          </cell>
          <cell r="F220">
            <v>1.2603030303030303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C221" t="str">
            <v>Fourniture et pose de tuyaux PEHD DN 32 PN 12,5</v>
          </cell>
          <cell r="D221" t="str">
            <v>ml</v>
          </cell>
          <cell r="E221">
            <v>2966</v>
          </cell>
          <cell r="F221">
            <v>0.8987878787878788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C222" t="str">
            <v>Fourniture et pose de tuyaux PEHD DN 25 PN 12,5</v>
          </cell>
          <cell r="D222" t="str">
            <v>ml</v>
          </cell>
          <cell r="E222">
            <v>2548</v>
          </cell>
          <cell r="F222">
            <v>0.7721212121212121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C223" t="str">
            <v>Fourniture et pose de tuyaux PEHD DN 20 PN 12,5</v>
          </cell>
          <cell r="D223" t="str">
            <v>ml</v>
          </cell>
          <cell r="E223">
            <v>1060</v>
          </cell>
          <cell r="F223">
            <v>0.32121212121212123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C224" t="str">
            <v>Fourniture et pose de tuyaux PEHD DN 110 PN 10</v>
          </cell>
          <cell r="D224" t="str">
            <v>ml</v>
          </cell>
          <cell r="E224">
            <v>25304</v>
          </cell>
          <cell r="F224">
            <v>7.667878787878788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C225" t="str">
            <v>Fourniture et pose de tuyaux PEHD DN 90 PN 10</v>
          </cell>
          <cell r="D225" t="str">
            <v>ml</v>
          </cell>
          <cell r="E225">
            <v>18566</v>
          </cell>
          <cell r="F225">
            <v>5.626060606060606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C226" t="str">
            <v>Fourniture et pose de tuyaux PEHD DN 75 PN 10</v>
          </cell>
          <cell r="D226" t="str">
            <v>ml</v>
          </cell>
          <cell r="E226">
            <v>13305</v>
          </cell>
          <cell r="F226">
            <v>4.0318181818181822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C227" t="str">
            <v>Fourniture et pose de tuyaux PEHD DN 63 PN 10</v>
          </cell>
          <cell r="D227" t="str">
            <v>ml</v>
          </cell>
          <cell r="E227">
            <v>9286</v>
          </cell>
          <cell r="F227">
            <v>2.813939393939394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C228" t="str">
            <v>Fourniture et pose de tuyaux PEHD DN 50 PN 10</v>
          </cell>
          <cell r="D228" t="str">
            <v>ml</v>
          </cell>
          <cell r="E228">
            <v>5916</v>
          </cell>
          <cell r="F228">
            <v>1.7927272727272727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C229" t="str">
            <v>Fourniture et pose de tuyaux PEHD DN 40 PN 10</v>
          </cell>
          <cell r="D229" t="str">
            <v>ml</v>
          </cell>
          <cell r="E229">
            <v>3891</v>
          </cell>
          <cell r="F229">
            <v>1.1790909090909092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C230" t="str">
            <v>Fourniture et pose de tuyaux PEHD DN 32 PN 10</v>
          </cell>
          <cell r="D230" t="str">
            <v>ml</v>
          </cell>
          <cell r="E230">
            <v>2832</v>
          </cell>
          <cell r="F230">
            <v>0.85818181818181816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C231" t="str">
            <v>Fourniture et pose detuyaux PEHD DN 25 PN 10</v>
          </cell>
          <cell r="D231" t="str">
            <v>ml</v>
          </cell>
          <cell r="E231">
            <v>1843</v>
          </cell>
          <cell r="F231">
            <v>0.55848484848484847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C233" t="str">
            <v>FOURNITURE EN TUYAUTERIE GALVA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C234" t="str">
            <v>Fourniture de tuyaux galvanisés 100/114</v>
          </cell>
          <cell r="D234" t="str">
            <v>ml</v>
          </cell>
          <cell r="E234">
            <v>56896.551724137935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C235" t="str">
            <v>Fourniture de tuyaux galvanisés 80/90</v>
          </cell>
          <cell r="D235" t="str">
            <v>ml</v>
          </cell>
          <cell r="E235">
            <v>33663.793103448283</v>
          </cell>
          <cell r="F235">
            <v>10.201149425287358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C236" t="str">
            <v>Fourniture de tuyaux galvanisés 66/76</v>
          </cell>
          <cell r="D236" t="str">
            <v>ml</v>
          </cell>
          <cell r="E236">
            <v>27583.448275862069</v>
          </cell>
          <cell r="F236">
            <v>8.3586206896551722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C237" t="str">
            <v>Fourniture de tuyaux galvanisés 50/60</v>
          </cell>
          <cell r="D237" t="str">
            <v>ml</v>
          </cell>
          <cell r="E237">
            <v>18480</v>
          </cell>
          <cell r="F237">
            <v>5.6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C238" t="str">
            <v>Fourniture de tuyaux galvanisés 40/49</v>
          </cell>
          <cell r="D238" t="str">
            <v>ml</v>
          </cell>
          <cell r="E238">
            <v>13973.793103448277</v>
          </cell>
          <cell r="F238">
            <v>4.2344827586206897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C239" t="str">
            <v>Fourniture de tuyaux galvanisés 33/42</v>
          </cell>
          <cell r="D239" t="str">
            <v>ml</v>
          </cell>
          <cell r="E239">
            <v>11493.103448275862</v>
          </cell>
          <cell r="F239">
            <v>3.4827586206896552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C240" t="str">
            <v>Fourniture de tuyaux galvanisés 26/33</v>
          </cell>
          <cell r="D240" t="str">
            <v>ml</v>
          </cell>
          <cell r="E240">
            <v>8011.0344827586223</v>
          </cell>
          <cell r="F240">
            <v>2.4275862068965521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C241" t="str">
            <v>Fourniture de tuyaux galvanisés 20/27</v>
          </cell>
          <cell r="D241" t="str">
            <v>ml</v>
          </cell>
          <cell r="E241">
            <v>5879.3103448275861</v>
          </cell>
          <cell r="F241">
            <v>1.7816091954022988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C242" t="str">
            <v>Fourniture de tuyaux galvanisés 15/21</v>
          </cell>
          <cell r="D242" t="str">
            <v>ml</v>
          </cell>
          <cell r="E242">
            <v>3982.7586206896558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C244" t="str">
            <v>FOURNITURE ET POSE DES TUYAUTERIES EN GALVA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C245" t="str">
            <v>Fourniture et pose de tuyaux galvanisés 100/114</v>
          </cell>
          <cell r="D245" t="str">
            <v>ml</v>
          </cell>
          <cell r="E245">
            <v>68275</v>
          </cell>
          <cell r="F245">
            <v>20.689393939393938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C246" t="str">
            <v>Fourniture et pose de tuyaux galvanisés 80/90</v>
          </cell>
          <cell r="D246" t="str">
            <v>ml</v>
          </cell>
          <cell r="E246">
            <v>40396</v>
          </cell>
          <cell r="F246">
            <v>12.241212121212122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C247" t="str">
            <v>Fourniture et pose de tuyaux galvanisés 66/76</v>
          </cell>
          <cell r="D247" t="str">
            <v>ml</v>
          </cell>
          <cell r="E247">
            <v>33100</v>
          </cell>
          <cell r="F247">
            <v>10.030303030303031</v>
          </cell>
          <cell r="H247">
            <v>0</v>
          </cell>
          <cell r="I247">
            <v>0</v>
          </cell>
          <cell r="J247">
            <v>0</v>
          </cell>
        </row>
        <row r="248">
          <cell r="C248" t="str">
            <v>Fourniture et pose de tuyaux galvanisés 50/60</v>
          </cell>
          <cell r="D248" t="str">
            <v>ml</v>
          </cell>
          <cell r="E248">
            <v>22176</v>
          </cell>
          <cell r="F248">
            <v>6.72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C249" t="str">
            <v>Fourniture et pose de tuyaux galvanisés 40/49</v>
          </cell>
          <cell r="D249" t="str">
            <v>ml</v>
          </cell>
          <cell r="E249">
            <v>16768</v>
          </cell>
          <cell r="F249">
            <v>5.0812121212121211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C250" t="str">
            <v>Fourniture et pose de tuyaux galvanisés 33/42</v>
          </cell>
          <cell r="D250" t="str">
            <v>ml</v>
          </cell>
          <cell r="E250">
            <v>13791</v>
          </cell>
          <cell r="F250">
            <v>4.1790909090909087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C251" t="str">
            <v>Fourniture et pose de tuyaux galvanisés 26/33</v>
          </cell>
          <cell r="D251" t="str">
            <v>ml</v>
          </cell>
          <cell r="E251">
            <v>9613</v>
          </cell>
          <cell r="F251">
            <v>2.9130303030303031</v>
          </cell>
          <cell r="H251">
            <v>0</v>
          </cell>
          <cell r="I251">
            <v>0</v>
          </cell>
          <cell r="J251">
            <v>0</v>
          </cell>
        </row>
        <row r="252">
          <cell r="C252" t="str">
            <v>Fourniture et pose de tuyaux galvanisés 20/27</v>
          </cell>
          <cell r="D252" t="str">
            <v>ml</v>
          </cell>
          <cell r="E252">
            <v>7055</v>
          </cell>
          <cell r="F252">
            <v>2.1378787878787877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C253" t="str">
            <v>Fourniture et pose de tuyaux galvanisés 15/21</v>
          </cell>
          <cell r="D253" t="str">
            <v>ml</v>
          </cell>
          <cell r="E253">
            <v>4779</v>
          </cell>
          <cell r="F253">
            <v>1.4481818181818182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C255" t="str">
            <v>SERIE 700 - ROBINETERIES ET ACCESSOIRES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C258" t="str">
            <v>FOURNITURES EN ACCESSOIRES PEHD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C259" t="str">
            <v>Fourniture de Manchon SR12 DN110</v>
          </cell>
          <cell r="D259" t="str">
            <v>U</v>
          </cell>
          <cell r="E259">
            <v>75085.919999999998</v>
          </cell>
          <cell r="F259">
            <v>22.753309090909092</v>
          </cell>
          <cell r="H259">
            <v>0</v>
          </cell>
          <cell r="I259">
            <v>0</v>
          </cell>
          <cell r="J259">
            <v>0</v>
          </cell>
        </row>
        <row r="260">
          <cell r="C260" t="str">
            <v>Fourniture de Manchon SR12 DN90</v>
          </cell>
          <cell r="D260" t="str">
            <v>U</v>
          </cell>
          <cell r="E260">
            <v>35043.839999999997</v>
          </cell>
          <cell r="F260">
            <v>10.619345454545453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C261" t="str">
            <v>Fourniture de Manchon SR12 DN75</v>
          </cell>
          <cell r="D261" t="str">
            <v>U</v>
          </cell>
          <cell r="E261">
            <v>28360.800000000003</v>
          </cell>
          <cell r="F261">
            <v>8.5941818181818199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C262" t="str">
            <v>Fourniture de Manchon SR12 DN63</v>
          </cell>
          <cell r="D262" t="str">
            <v>U</v>
          </cell>
          <cell r="E262">
            <v>14601.6</v>
          </cell>
          <cell r="F262">
            <v>4.4247272727272726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C263" t="str">
            <v>Fourniture de Manchon SR12 DN50</v>
          </cell>
          <cell r="D263" t="str">
            <v>U</v>
          </cell>
          <cell r="E263">
            <v>10558.080000000002</v>
          </cell>
          <cell r="F263">
            <v>3.1994181818181824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C264" t="str">
            <v>Fourniture de Manchon SR12 DN40</v>
          </cell>
          <cell r="D264" t="str">
            <v>U</v>
          </cell>
          <cell r="E264">
            <v>7750.0800000000008</v>
          </cell>
          <cell r="F264">
            <v>2.3485090909090913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C265" t="str">
            <v>Fourniture de Manchon SR12 DN32</v>
          </cell>
          <cell r="D265" t="str">
            <v>U</v>
          </cell>
          <cell r="E265">
            <v>4773.6000000000004</v>
          </cell>
          <cell r="F265">
            <v>1.4465454545454546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C266" t="str">
            <v>Fourniture de Manchon SR12 DN25</v>
          </cell>
          <cell r="D266" t="str">
            <v>U</v>
          </cell>
          <cell r="E266">
            <v>3706.56</v>
          </cell>
          <cell r="F266">
            <v>1.1232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C267" t="str">
            <v>Fourniture de Manchon SR12 DN20</v>
          </cell>
          <cell r="D267" t="str">
            <v>U</v>
          </cell>
          <cell r="E267">
            <v>3088.8000000000006</v>
          </cell>
          <cell r="F267">
            <v>0.93600000000000017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C268" t="str">
            <v>Fourniture de Manchon Mixtes Mâles SR13 DN90</v>
          </cell>
          <cell r="D268" t="str">
            <v>U</v>
          </cell>
          <cell r="E268">
            <v>21284.639999999999</v>
          </cell>
          <cell r="F268">
            <v>6.4498909090909091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C269" t="str">
            <v>Fourniture de Manchon Mixtes Mâles SR13 DN75</v>
          </cell>
          <cell r="D269" t="str">
            <v>U</v>
          </cell>
          <cell r="E269">
            <v>18027.36</v>
          </cell>
          <cell r="F269">
            <v>5.4628363636363639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C270" t="str">
            <v>Fourniture de Manchon Mixtes Mâles SR13 DN63</v>
          </cell>
          <cell r="D270" t="str">
            <v>U</v>
          </cell>
          <cell r="E270">
            <v>8929.44</v>
          </cell>
          <cell r="F270">
            <v>2.7058909090909093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C271" t="str">
            <v>Fourniture de Manchon Mixtes Mâles SR13 DN50</v>
          </cell>
          <cell r="D271" t="str">
            <v>U</v>
          </cell>
          <cell r="E271">
            <v>6289.920000000001</v>
          </cell>
          <cell r="F271">
            <v>1.906036363636364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C272" t="str">
            <v>Fourniture de Manchon Mixtes Mâles SR13 DN40</v>
          </cell>
          <cell r="D272" t="str">
            <v>U</v>
          </cell>
          <cell r="E272">
            <v>4829.76</v>
          </cell>
          <cell r="F272">
            <v>1.4635636363636364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C273" t="str">
            <v>Fourniture de Manchon Mixtes Mâles SR13 DN32</v>
          </cell>
          <cell r="D273" t="str">
            <v>U</v>
          </cell>
          <cell r="E273">
            <v>2583.36</v>
          </cell>
          <cell r="F273">
            <v>0.78283636363636366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C274" t="str">
            <v>Fourniture de Manchon Mixtes Mâles SR13 DN25</v>
          </cell>
          <cell r="D274" t="str">
            <v>U</v>
          </cell>
          <cell r="E274">
            <v>2077.92</v>
          </cell>
          <cell r="F274">
            <v>0.62967272727272727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C275" t="str">
            <v>Fourniture de Manchon Mixtes Mâles SR13 DN20</v>
          </cell>
          <cell r="D275" t="str">
            <v>U</v>
          </cell>
          <cell r="E275">
            <v>1740.96</v>
          </cell>
          <cell r="F275">
            <v>0.52756363636363635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C276" t="str">
            <v>Fourniture de Manchon mixte femelle SR 14 DN110</v>
          </cell>
          <cell r="D276" t="str">
            <v>U</v>
          </cell>
          <cell r="E276">
            <v>53969.759999999987</v>
          </cell>
          <cell r="F276">
            <v>16.354472727272725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C277" t="str">
            <v>Fourniture de Manchon mixte femelle SR 14 DN90</v>
          </cell>
          <cell r="D277" t="str">
            <v>U</v>
          </cell>
          <cell r="E277">
            <v>22800.959999999995</v>
          </cell>
          <cell r="F277">
            <v>6.9093818181818172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C278" t="str">
            <v>Fourniture de Manchon mixte femelle SR 14 DN75</v>
          </cell>
          <cell r="D278" t="str">
            <v>U</v>
          </cell>
          <cell r="E278">
            <v>18588.960000000003</v>
          </cell>
          <cell r="F278">
            <v>5.6330181818181826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C279" t="str">
            <v>Fourniture de Manchon mixte femelle SR 14 DN63</v>
          </cell>
          <cell r="D279" t="str">
            <v>U</v>
          </cell>
          <cell r="E279">
            <v>9041.76</v>
          </cell>
          <cell r="F279">
            <v>2.739927272727273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C280" t="str">
            <v>Fourniture de Manchon mixte femelle SR 14 DN50</v>
          </cell>
          <cell r="D280" t="str">
            <v>U</v>
          </cell>
          <cell r="E280">
            <v>6402.2399999999989</v>
          </cell>
          <cell r="F280">
            <v>1.9400727272727269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C281" t="str">
            <v>Fourniture de Manchon mixte femelle SR 14 DN40</v>
          </cell>
          <cell r="D281" t="str">
            <v>U</v>
          </cell>
          <cell r="E281">
            <v>4436.6400000000003</v>
          </cell>
          <cell r="F281">
            <v>1.3444363636363637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C282" t="str">
            <v>Fourniture de Manchon mixte femelle SR 14 DN32</v>
          </cell>
          <cell r="D282" t="str">
            <v>U</v>
          </cell>
          <cell r="E282">
            <v>2864.16</v>
          </cell>
          <cell r="F282">
            <v>0.86792727272727266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C283" t="str">
            <v>Fourniture de Manchon mixte femelle SR 14 DN25</v>
          </cell>
          <cell r="D283" t="str">
            <v>U</v>
          </cell>
          <cell r="E283">
            <v>2246.4</v>
          </cell>
          <cell r="F283">
            <v>0.68072727272727274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C284" t="str">
            <v>Fourniture de Manchon mixte femelle SR 14 DN20</v>
          </cell>
          <cell r="D284" t="str">
            <v>U</v>
          </cell>
          <cell r="E284">
            <v>1965.6000000000001</v>
          </cell>
          <cell r="F284">
            <v>0.59563636363636363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C285" t="str">
            <v>Fourniture de manchon réduit 110X90</v>
          </cell>
          <cell r="D285" t="str">
            <v>U</v>
          </cell>
          <cell r="E285">
            <v>71772.479999999996</v>
          </cell>
          <cell r="F285">
            <v>21.749236363636363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C286" t="str">
            <v>Fourniture de manchon réduit 90X75</v>
          </cell>
          <cell r="D286" t="str">
            <v>U</v>
          </cell>
          <cell r="E286">
            <v>34257.599999999999</v>
          </cell>
          <cell r="F286">
            <v>10.381090909090908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C287" t="str">
            <v>Fourniture de manchon réduit 90X63</v>
          </cell>
          <cell r="D287" t="str">
            <v>U</v>
          </cell>
          <cell r="E287">
            <v>34257.599999999999</v>
          </cell>
          <cell r="F287">
            <v>10.381090909090908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C288" t="str">
            <v>Fourniture de manchon réduit 75/63</v>
          </cell>
          <cell r="D288" t="str">
            <v>U</v>
          </cell>
          <cell r="E288">
            <v>25889.760000000006</v>
          </cell>
          <cell r="F288">
            <v>7.8453818181818198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C289" t="str">
            <v>Fourniture de manchon réduit 75/50</v>
          </cell>
          <cell r="D289" t="str">
            <v>U</v>
          </cell>
          <cell r="E289">
            <v>25889.760000000006</v>
          </cell>
          <cell r="F289">
            <v>7.8453818181818198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C290" t="str">
            <v>Fourniture de manchon réduit 63/50</v>
          </cell>
          <cell r="D290" t="str">
            <v>U</v>
          </cell>
          <cell r="E290">
            <v>13759.2</v>
          </cell>
          <cell r="F290">
            <v>4.1694545454545455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C291" t="str">
            <v>Fourniture de manchon réduit 63/40</v>
          </cell>
          <cell r="D291" t="str">
            <v>U</v>
          </cell>
          <cell r="E291">
            <v>13759.2</v>
          </cell>
          <cell r="F291">
            <v>4.1694545454545455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C292" t="str">
            <v>Fourniture de manchon réduit 63/32</v>
          </cell>
          <cell r="D292" t="str">
            <v>U</v>
          </cell>
          <cell r="E292">
            <v>13759.2</v>
          </cell>
          <cell r="F292">
            <v>4.1694545454545455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C293" t="str">
            <v>Fourniture de manchon réduit 63/25</v>
          </cell>
          <cell r="D293" t="str">
            <v>U</v>
          </cell>
          <cell r="E293">
            <v>105539.32800000001</v>
          </cell>
          <cell r="F293">
            <v>31.981614545454548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C294" t="str">
            <v>Fourniture de manchon réduit 50/40</v>
          </cell>
          <cell r="D294" t="str">
            <v>U</v>
          </cell>
          <cell r="E294">
            <v>9715.68</v>
          </cell>
          <cell r="F294">
            <v>2.9441454545454548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C295" t="str">
            <v>Fourniture de manchon réduit 50/32</v>
          </cell>
          <cell r="D295" t="str">
            <v>U</v>
          </cell>
          <cell r="E295">
            <v>9715.68</v>
          </cell>
          <cell r="F295">
            <v>2.9441454545454548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C296" t="str">
            <v>Fourniture de manchon réduit 50/25</v>
          </cell>
          <cell r="D296" t="str">
            <v>U</v>
          </cell>
          <cell r="E296">
            <v>9715.68</v>
          </cell>
          <cell r="F296">
            <v>2.9441454545454548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C297" t="str">
            <v>Fourniture de manchon réduit 40/32</v>
          </cell>
          <cell r="D297" t="str">
            <v>U</v>
          </cell>
          <cell r="E297">
            <v>7750.0800000000008</v>
          </cell>
          <cell r="F297">
            <v>2.3485090909090913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C298" t="str">
            <v>Fourniture de manchon réduit 40/25</v>
          </cell>
          <cell r="D298" t="str">
            <v>U</v>
          </cell>
          <cell r="E298">
            <v>7750.0800000000008</v>
          </cell>
          <cell r="F298">
            <v>2.3485090909090913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C299" t="str">
            <v>Fourniture de manchon réduit 32/25</v>
          </cell>
          <cell r="D299" t="str">
            <v>U</v>
          </cell>
          <cell r="E299">
            <v>4380.4799999999996</v>
          </cell>
          <cell r="F299">
            <v>1.3274181818181816</v>
          </cell>
          <cell r="G299">
            <v>0</v>
          </cell>
          <cell r="H299">
            <v>12.56</v>
          </cell>
          <cell r="I299">
            <v>0</v>
          </cell>
          <cell r="J299">
            <v>0</v>
          </cell>
        </row>
        <row r="300">
          <cell r="C300" t="str">
            <v>Fourniture de manchon réduit 32/20</v>
          </cell>
          <cell r="D300" t="str">
            <v>U</v>
          </cell>
          <cell r="E300">
            <v>4380.4799999999996</v>
          </cell>
          <cell r="F300">
            <v>1.3274181818181816</v>
          </cell>
          <cell r="G300">
            <v>0</v>
          </cell>
          <cell r="H300">
            <v>1.8839999999999999</v>
          </cell>
          <cell r="I300">
            <v>0</v>
          </cell>
          <cell r="J300">
            <v>0</v>
          </cell>
        </row>
        <row r="301">
          <cell r="C301" t="str">
            <v>Fourniture de manchon réduit 25/20</v>
          </cell>
          <cell r="D301" t="str">
            <v>U</v>
          </cell>
          <cell r="E301">
            <v>4380.4799999999996</v>
          </cell>
          <cell r="F301">
            <v>1.3274181818181816</v>
          </cell>
          <cell r="G301">
            <v>0</v>
          </cell>
          <cell r="H301">
            <v>0.94199999999999995</v>
          </cell>
        </row>
        <row r="302">
          <cell r="C302" t="str">
            <v>Fourniture de Coude 90° DN110</v>
          </cell>
          <cell r="D302" t="str">
            <v>U</v>
          </cell>
          <cell r="E302">
            <v>69245.279999999999</v>
          </cell>
          <cell r="F302">
            <v>20.98341818181818</v>
          </cell>
          <cell r="G302">
            <v>0</v>
          </cell>
          <cell r="H302">
            <v>2.8259999999999996</v>
          </cell>
          <cell r="I302">
            <v>0</v>
          </cell>
        </row>
        <row r="303">
          <cell r="C303" t="str">
            <v>Fourniture de Coude 90° DN90</v>
          </cell>
          <cell r="D303" t="str">
            <v>U</v>
          </cell>
          <cell r="E303">
            <v>35212.32</v>
          </cell>
          <cell r="F303">
            <v>10.670400000000001</v>
          </cell>
          <cell r="G303">
            <v>0</v>
          </cell>
          <cell r="H303">
            <v>3.7679999999999998</v>
          </cell>
        </row>
        <row r="304">
          <cell r="C304" t="str">
            <v>Fourniture de Coude 90° DN75</v>
          </cell>
          <cell r="D304" t="str">
            <v>U</v>
          </cell>
          <cell r="E304">
            <v>27518.400000000001</v>
          </cell>
          <cell r="F304">
            <v>8.338909090909091</v>
          </cell>
          <cell r="G304">
            <v>0</v>
          </cell>
        </row>
        <row r="305">
          <cell r="C305" t="str">
            <v>Fourniture de Coude 90° DN63</v>
          </cell>
          <cell r="D305" t="str">
            <v>U</v>
          </cell>
          <cell r="E305">
            <v>14320.800000000001</v>
          </cell>
          <cell r="F305">
            <v>4.3396363636363642</v>
          </cell>
          <cell r="H305">
            <v>0</v>
          </cell>
          <cell r="I305">
            <v>0</v>
          </cell>
        </row>
        <row r="306">
          <cell r="C306" t="str">
            <v>Fourniture de Coude 90° DN50</v>
          </cell>
          <cell r="D306" t="str">
            <v>U</v>
          </cell>
          <cell r="E306">
            <v>11344.32</v>
          </cell>
          <cell r="F306">
            <v>3.437672727272727</v>
          </cell>
          <cell r="G306">
            <v>0</v>
          </cell>
          <cell r="H306">
            <v>0</v>
          </cell>
          <cell r="I306">
            <v>0</v>
          </cell>
        </row>
        <row r="307">
          <cell r="C307" t="str">
            <v>Fourniture de Coude 90° DN40</v>
          </cell>
          <cell r="D307" t="str">
            <v>U</v>
          </cell>
          <cell r="E307">
            <v>8087.04</v>
          </cell>
          <cell r="F307">
            <v>2.4506181818181818</v>
          </cell>
          <cell r="G307">
            <v>0</v>
          </cell>
          <cell r="H307">
            <v>0</v>
          </cell>
          <cell r="I307">
            <v>0</v>
          </cell>
        </row>
        <row r="308">
          <cell r="C308" t="str">
            <v>Fourniture de Coude 90° DN32</v>
          </cell>
          <cell r="D308" t="str">
            <v>U</v>
          </cell>
          <cell r="E308">
            <v>4605.12</v>
          </cell>
          <cell r="F308">
            <v>1.3954909090909091</v>
          </cell>
          <cell r="G308">
            <v>0</v>
          </cell>
          <cell r="H308">
            <v>0</v>
          </cell>
          <cell r="I308">
            <v>0</v>
          </cell>
        </row>
        <row r="309">
          <cell r="C309" t="str">
            <v>Fourniture de Coude 90° DN25</v>
          </cell>
          <cell r="D309" t="str">
            <v>U</v>
          </cell>
          <cell r="E309">
            <v>3762.72</v>
          </cell>
          <cell r="F309">
            <v>1.1402181818181818</v>
          </cell>
          <cell r="H309">
            <v>0</v>
          </cell>
          <cell r="I309">
            <v>0</v>
          </cell>
        </row>
        <row r="310">
          <cell r="C310" t="str">
            <v>Fourniture de Coude 90° DN20</v>
          </cell>
          <cell r="D310" t="str">
            <v>U</v>
          </cell>
          <cell r="E310">
            <v>3088.8000000000006</v>
          </cell>
          <cell r="F310">
            <v>0.93600000000000017</v>
          </cell>
          <cell r="G310">
            <v>0</v>
          </cell>
          <cell r="H310">
            <v>0</v>
          </cell>
          <cell r="I310">
            <v>0</v>
          </cell>
        </row>
        <row r="311">
          <cell r="C311" t="str">
            <v>Fourniture de Coude 90° taraudée 63</v>
          </cell>
          <cell r="D311" t="str">
            <v>U</v>
          </cell>
          <cell r="E311">
            <v>13703.04</v>
          </cell>
          <cell r="F311">
            <v>4.1524363636363635</v>
          </cell>
          <cell r="G311">
            <v>0</v>
          </cell>
          <cell r="H311">
            <v>0</v>
          </cell>
          <cell r="I311">
            <v>0</v>
          </cell>
        </row>
        <row r="312">
          <cell r="C312" t="str">
            <v>Fourniture de Coude 90° taraudée 50</v>
          </cell>
          <cell r="D312" t="str">
            <v>U</v>
          </cell>
          <cell r="E312">
            <v>10277.280000000001</v>
          </cell>
          <cell r="F312">
            <v>3.1143272727272731</v>
          </cell>
          <cell r="G312">
            <v>0</v>
          </cell>
          <cell r="H312">
            <v>0</v>
          </cell>
          <cell r="I312">
            <v>0</v>
          </cell>
        </row>
        <row r="313">
          <cell r="C313" t="str">
            <v>Fourniture de Coude 90° taraudée 40</v>
          </cell>
          <cell r="D313" t="str">
            <v>U</v>
          </cell>
          <cell r="E313">
            <v>7750.0800000000008</v>
          </cell>
          <cell r="F313">
            <v>2.3485090909090913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</row>
        <row r="314">
          <cell r="C314" t="str">
            <v>Fourniture de Coude 90° taraudée 32</v>
          </cell>
          <cell r="D314" t="str">
            <v>U</v>
          </cell>
          <cell r="E314">
            <v>3425.76</v>
          </cell>
          <cell r="F314">
            <v>1.0381090909090909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</row>
        <row r="315">
          <cell r="C315" t="str">
            <v>Fourniture de Coude 90° taraudée 25</v>
          </cell>
          <cell r="D315" t="str">
            <v>U</v>
          </cell>
          <cell r="E315">
            <v>2864.16</v>
          </cell>
          <cell r="F315">
            <v>0.86792727272727266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</row>
        <row r="316">
          <cell r="C316" t="str">
            <v>Fourniture de Coude 90° taraudée 20</v>
          </cell>
          <cell r="D316" t="str">
            <v>U</v>
          </cell>
          <cell r="E316">
            <v>2302.56</v>
          </cell>
          <cell r="F316">
            <v>0.69774545454545456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C317" t="str">
            <v>Fourniture de Tés égaux 90° DN 110</v>
          </cell>
          <cell r="D317" t="str">
            <v>U</v>
          </cell>
          <cell r="E317">
            <v>277781.40000000002</v>
          </cell>
          <cell r="F317">
            <v>84.176181818181831</v>
          </cell>
          <cell r="G317">
            <v>0</v>
          </cell>
        </row>
        <row r="318">
          <cell r="C318" t="str">
            <v>Fourniture de Tés égaux 90° DN 90</v>
          </cell>
          <cell r="D318" t="str">
            <v>U</v>
          </cell>
          <cell r="E318">
            <v>54250.559999999998</v>
          </cell>
          <cell r="F318">
            <v>16.439563636363637</v>
          </cell>
          <cell r="G318">
            <v>0</v>
          </cell>
        </row>
        <row r="319">
          <cell r="C319" t="str">
            <v>Fourniture de Tés égaux 90° DN 75</v>
          </cell>
          <cell r="D319" t="str">
            <v>U</v>
          </cell>
          <cell r="E319">
            <v>39255.839999999997</v>
          </cell>
          <cell r="F319">
            <v>11.89570909090909</v>
          </cell>
          <cell r="G319">
            <v>0</v>
          </cell>
        </row>
        <row r="320">
          <cell r="C320" t="str">
            <v>Fourniture de Tés égaux 90° DN 63</v>
          </cell>
          <cell r="D320" t="str">
            <v>U</v>
          </cell>
          <cell r="E320">
            <v>21902.400000000001</v>
          </cell>
          <cell r="F320">
            <v>6.6370909090909098</v>
          </cell>
          <cell r="G320">
            <v>0</v>
          </cell>
        </row>
        <row r="321">
          <cell r="C321" t="str">
            <v>Fourniture de Tés égaux 90° DN 50</v>
          </cell>
          <cell r="D321" t="str">
            <v>U</v>
          </cell>
          <cell r="E321">
            <v>15387.84</v>
          </cell>
          <cell r="F321">
            <v>4.6629818181818186</v>
          </cell>
          <cell r="G321">
            <v>0</v>
          </cell>
        </row>
        <row r="322">
          <cell r="C322" t="str">
            <v>Fourniture de Tés égaux 90° DN 40</v>
          </cell>
          <cell r="D322" t="str">
            <v>U</v>
          </cell>
          <cell r="E322">
            <v>11344.32</v>
          </cell>
          <cell r="F322">
            <v>3.437672727272727</v>
          </cell>
          <cell r="G322">
            <v>0</v>
          </cell>
        </row>
        <row r="323">
          <cell r="C323" t="str">
            <v>Fourniture de Tés égaux 90° DN 32</v>
          </cell>
          <cell r="D323" t="str">
            <v>U</v>
          </cell>
          <cell r="E323">
            <v>6907.68</v>
          </cell>
          <cell r="F323">
            <v>2.0932363636363638</v>
          </cell>
          <cell r="G323">
            <v>0</v>
          </cell>
        </row>
        <row r="324">
          <cell r="C324" t="str">
            <v>Fourniture de Tés égaux 90° DN 25</v>
          </cell>
          <cell r="D324" t="str">
            <v>U</v>
          </cell>
          <cell r="E324">
            <v>5279.0400000000009</v>
          </cell>
          <cell r="F324">
            <v>1.5997090909090912</v>
          </cell>
          <cell r="G324">
            <v>0</v>
          </cell>
        </row>
        <row r="325">
          <cell r="C325" t="str">
            <v>Fourniture de Tés égaux 90° DN 20</v>
          </cell>
          <cell r="D325" t="str">
            <v>U</v>
          </cell>
          <cell r="E325">
            <v>3987.36</v>
          </cell>
          <cell r="F325">
            <v>1.2082909090909091</v>
          </cell>
          <cell r="G325">
            <v>0</v>
          </cell>
        </row>
        <row r="326">
          <cell r="C326" t="str">
            <v>Fourniture de Té réduit 110/63/110</v>
          </cell>
          <cell r="D326" t="str">
            <v>U</v>
          </cell>
          <cell r="E326">
            <v>220032</v>
          </cell>
          <cell r="F326">
            <v>66.676363636363632</v>
          </cell>
          <cell r="G326">
            <v>0</v>
          </cell>
        </row>
        <row r="327">
          <cell r="C327" t="str">
            <v>Fourniture de Té réduit 90/75/90</v>
          </cell>
          <cell r="D327" t="str">
            <v>U</v>
          </cell>
          <cell r="E327">
            <v>64190.879999999997</v>
          </cell>
          <cell r="F327">
            <v>19.451781818181818</v>
          </cell>
          <cell r="G327">
            <v>0</v>
          </cell>
        </row>
        <row r="328">
          <cell r="C328" t="str">
            <v>Fourniture de Té réduit 90/63/90</v>
          </cell>
          <cell r="D328" t="str">
            <v>U</v>
          </cell>
          <cell r="E328">
            <v>40322.880000000005</v>
          </cell>
          <cell r="F328">
            <v>12.219054545454547</v>
          </cell>
          <cell r="G328">
            <v>0</v>
          </cell>
        </row>
        <row r="329">
          <cell r="C329" t="str">
            <v>Fourniture de Té réduit 75/63/75</v>
          </cell>
          <cell r="D329" t="str">
            <v>U</v>
          </cell>
          <cell r="E329">
            <v>77760</v>
          </cell>
          <cell r="F329">
            <v>23.563636363636363</v>
          </cell>
          <cell r="G329">
            <v>0</v>
          </cell>
        </row>
        <row r="330">
          <cell r="C330" t="str">
            <v>Fourniture de Té réduit 75/50/75</v>
          </cell>
          <cell r="D330" t="str">
            <v>U</v>
          </cell>
          <cell r="E330">
            <v>91776</v>
          </cell>
          <cell r="F330">
            <v>27.810909090909092</v>
          </cell>
          <cell r="G330">
            <v>0</v>
          </cell>
        </row>
        <row r="331">
          <cell r="C331" t="str">
            <v>Fourniture de Té réduit 75/40/75</v>
          </cell>
          <cell r="D331" t="str">
            <v>U</v>
          </cell>
          <cell r="E331">
            <v>91584</v>
          </cell>
          <cell r="F331">
            <v>27.752727272727274</v>
          </cell>
          <cell r="G331">
            <v>0</v>
          </cell>
        </row>
        <row r="332">
          <cell r="C332" t="str">
            <v>Fourniture de Té réduit 63/50/63</v>
          </cell>
          <cell r="D332" t="str">
            <v>U</v>
          </cell>
          <cell r="E332">
            <v>27069.120000000003</v>
          </cell>
          <cell r="F332">
            <v>8.2027636363636365</v>
          </cell>
          <cell r="G332">
            <v>0</v>
          </cell>
        </row>
        <row r="333">
          <cell r="C333" t="str">
            <v>Fourniture de Té réduit 63/40/63</v>
          </cell>
          <cell r="D333" t="str">
            <v>U</v>
          </cell>
          <cell r="E333">
            <v>42432</v>
          </cell>
          <cell r="F333">
            <v>12.858181818181817</v>
          </cell>
          <cell r="G333">
            <v>0</v>
          </cell>
        </row>
        <row r="334">
          <cell r="C334" t="str">
            <v>Fourniture de Té réduit 63/32/63</v>
          </cell>
          <cell r="D334" t="str">
            <v>U</v>
          </cell>
          <cell r="E334">
            <v>52616.640000000007</v>
          </cell>
          <cell r="F334">
            <v>15.944436363636365</v>
          </cell>
          <cell r="G334">
            <v>0</v>
          </cell>
        </row>
        <row r="335">
          <cell r="C335" t="str">
            <v>Fourniture de Té réduit 63/25/63</v>
          </cell>
          <cell r="D335" t="str">
            <v>U</v>
          </cell>
          <cell r="E335">
            <v>54600.959999999999</v>
          </cell>
          <cell r="F335">
            <v>16.545745454545454</v>
          </cell>
          <cell r="G335">
            <v>0</v>
          </cell>
        </row>
        <row r="336">
          <cell r="C336" t="str">
            <v>Fourniture de Té réduit 50/40/50</v>
          </cell>
          <cell r="D336" t="str">
            <v>U</v>
          </cell>
          <cell r="E336">
            <v>19487.52</v>
          </cell>
          <cell r="F336">
            <v>5.9053090909090908</v>
          </cell>
          <cell r="G336">
            <v>0</v>
          </cell>
        </row>
        <row r="337">
          <cell r="C337" t="str">
            <v>Fourniture de Té réduit 50/32/50</v>
          </cell>
          <cell r="D337" t="str">
            <v>U</v>
          </cell>
          <cell r="E337">
            <v>27456</v>
          </cell>
          <cell r="F337">
            <v>8.32</v>
          </cell>
          <cell r="G337">
            <v>0</v>
          </cell>
        </row>
        <row r="338">
          <cell r="C338" t="str">
            <v>Fourniture de Té réduit 50/25/50</v>
          </cell>
          <cell r="D338" t="str">
            <v>U</v>
          </cell>
          <cell r="E338">
            <v>35846.400000000001</v>
          </cell>
          <cell r="F338">
            <v>10.862545454545455</v>
          </cell>
          <cell r="G338">
            <v>0</v>
          </cell>
        </row>
        <row r="339">
          <cell r="C339" t="str">
            <v>Fourniture de Té réduit 40/32/40</v>
          </cell>
          <cell r="D339" t="str">
            <v>U</v>
          </cell>
          <cell r="E339">
            <v>14938.560000000001</v>
          </cell>
          <cell r="F339">
            <v>4.526836363636364</v>
          </cell>
          <cell r="G339">
            <v>0</v>
          </cell>
          <cell r="H339">
            <v>12.56</v>
          </cell>
        </row>
        <row r="340">
          <cell r="C340" t="str">
            <v>Fourniture de Té réduit 40/25/40</v>
          </cell>
          <cell r="D340" t="str">
            <v>U</v>
          </cell>
          <cell r="E340">
            <v>21408</v>
          </cell>
          <cell r="F340">
            <v>6.4872727272727273</v>
          </cell>
          <cell r="G340">
            <v>0</v>
          </cell>
          <cell r="H340">
            <v>1.8839999999999999</v>
          </cell>
        </row>
        <row r="341">
          <cell r="C341" t="str">
            <v>Fourniture de Té réduit 32/25/32</v>
          </cell>
          <cell r="D341" t="str">
            <v>U</v>
          </cell>
          <cell r="E341">
            <v>7132.32</v>
          </cell>
          <cell r="F341">
            <v>2.1613090909090906</v>
          </cell>
          <cell r="G341">
            <v>0</v>
          </cell>
          <cell r="H341">
            <v>0.94199999999999995</v>
          </cell>
        </row>
        <row r="342">
          <cell r="C342" t="str">
            <v>Fourniture de Té réduit 25/20/25</v>
          </cell>
          <cell r="D342" t="str">
            <v>U</v>
          </cell>
          <cell r="E342">
            <v>6065.2800000000007</v>
          </cell>
          <cell r="F342">
            <v>1.8379636363636365</v>
          </cell>
          <cell r="G342">
            <v>0</v>
          </cell>
          <cell r="H342">
            <v>2.8259999999999996</v>
          </cell>
        </row>
        <row r="343">
          <cell r="C343" t="str">
            <v>Fourniture de Tés à dérivation Filetée DN 75</v>
          </cell>
          <cell r="D343" t="str">
            <v>U</v>
          </cell>
          <cell r="E343">
            <v>37546.415999999997</v>
          </cell>
          <cell r="F343">
            <v>11.377701818181817</v>
          </cell>
          <cell r="G343">
            <v>0</v>
          </cell>
          <cell r="H343">
            <v>3.7679999999999998</v>
          </cell>
        </row>
        <row r="344">
          <cell r="C344" t="str">
            <v>Fourniture de Tés à dérivation Filetée DN 63</v>
          </cell>
          <cell r="D344" t="str">
            <v>U</v>
          </cell>
          <cell r="E344">
            <v>17282.937600000001</v>
          </cell>
          <cell r="F344">
            <v>5.2372538181818182</v>
          </cell>
          <cell r="H344">
            <v>0.94199999999999995</v>
          </cell>
        </row>
        <row r="345">
          <cell r="C345" t="str">
            <v>Fourniture de Tés à dérivation Filetée DN 50</v>
          </cell>
          <cell r="D345" t="str">
            <v>U</v>
          </cell>
          <cell r="E345">
            <v>11482.819200000002</v>
          </cell>
          <cell r="F345">
            <v>3.4796421818181824</v>
          </cell>
          <cell r="G345">
            <v>0</v>
          </cell>
          <cell r="H345">
            <v>2.8259999999999996</v>
          </cell>
        </row>
        <row r="346">
          <cell r="C346" t="str">
            <v>Fourniture de Tés à dérivation Filetée DN 40</v>
          </cell>
          <cell r="D346" t="str">
            <v>U</v>
          </cell>
          <cell r="E346">
            <v>9447.84</v>
          </cell>
          <cell r="F346">
            <v>2.8629818181818183</v>
          </cell>
          <cell r="G346">
            <v>0</v>
          </cell>
          <cell r="H346">
            <v>3.7679999999999998</v>
          </cell>
        </row>
        <row r="347">
          <cell r="C347" t="str">
            <v>Fourniture de Tés à dérivation Filetée DN 32</v>
          </cell>
          <cell r="D347" t="str">
            <v>U</v>
          </cell>
          <cell r="E347">
            <v>5387.2128000000002</v>
          </cell>
          <cell r="F347">
            <v>1.6324887272727273</v>
          </cell>
          <cell r="G347">
            <v>0</v>
          </cell>
        </row>
        <row r="348">
          <cell r="C348" t="str">
            <v>Fourniture de Tés à dérivation Filetée DN 25</v>
          </cell>
          <cell r="D348" t="str">
            <v>U</v>
          </cell>
          <cell r="E348">
            <v>4338.2304000000004</v>
          </cell>
          <cell r="F348">
            <v>1.3146152727272729</v>
          </cell>
          <cell r="G348">
            <v>0</v>
          </cell>
        </row>
        <row r="349">
          <cell r="C349" t="str">
            <v>Fourniture de Tés à dérivation Taraudées DN75</v>
          </cell>
          <cell r="D349" t="str">
            <v>U</v>
          </cell>
          <cell r="E349">
            <v>37546.415999999997</v>
          </cell>
          <cell r="F349">
            <v>11.377701818181817</v>
          </cell>
          <cell r="G349">
            <v>0</v>
          </cell>
        </row>
        <row r="350">
          <cell r="C350" t="str">
            <v>Fourniture de Tés à dérivation Taraudées DN 63</v>
          </cell>
          <cell r="D350" t="str">
            <v>U</v>
          </cell>
          <cell r="E350">
            <v>18421.344000000001</v>
          </cell>
          <cell r="F350">
            <v>5.5822254545454548</v>
          </cell>
          <cell r="G350">
            <v>0</v>
          </cell>
        </row>
        <row r="351">
          <cell r="C351" t="str">
            <v>Fourniture de Tés à dérivation Taraudées DN 50</v>
          </cell>
          <cell r="D351" t="str">
            <v>U</v>
          </cell>
          <cell r="E351">
            <v>12424.492800000002</v>
          </cell>
          <cell r="F351">
            <v>3.7649978181818189</v>
          </cell>
          <cell r="G351">
            <v>0</v>
          </cell>
        </row>
        <row r="352">
          <cell r="C352" t="str">
            <v>Fourniture de Tés à dérivation Taraudées DN 40</v>
          </cell>
          <cell r="D352" t="str">
            <v>U</v>
          </cell>
          <cell r="E352">
            <v>10511.596800000001</v>
          </cell>
          <cell r="F352">
            <v>3.185332363636364</v>
          </cell>
          <cell r="G352">
            <v>0</v>
          </cell>
        </row>
        <row r="353">
          <cell r="C353" t="str">
            <v>Fourniture de Tés à dérivation Taraudées DN 32</v>
          </cell>
          <cell r="D353" t="str">
            <v>U</v>
          </cell>
          <cell r="E353">
            <v>6897.3119999999999</v>
          </cell>
          <cell r="F353">
            <v>2.0900945454545452</v>
          </cell>
          <cell r="G353">
            <v>0</v>
          </cell>
        </row>
        <row r="354">
          <cell r="C354" t="str">
            <v>Fourniture de Tés à dérivation Taraudées DN 25</v>
          </cell>
          <cell r="D354" t="str">
            <v>U</v>
          </cell>
          <cell r="E354">
            <v>5430.7583999999997</v>
          </cell>
          <cell r="F354">
            <v>1.6456843636363636</v>
          </cell>
          <cell r="G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</row>
        <row r="356">
          <cell r="C356" t="str">
            <v>FOURNITURE ET POSE DES ACCESSOIRES PEHD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C357" t="str">
            <v>Fourniture et pose de Manchon SR12 DN110</v>
          </cell>
          <cell r="D357" t="str">
            <v>U</v>
          </cell>
          <cell r="E357">
            <v>90103</v>
          </cell>
          <cell r="F357">
            <v>27.303939393939395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C358" t="str">
            <v>Fourniture et pose de Manchon SR12 DN90</v>
          </cell>
          <cell r="D358" t="str">
            <v>U</v>
          </cell>
          <cell r="E358">
            <v>42052</v>
          </cell>
          <cell r="F358">
            <v>12.743030303030302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C359" t="str">
            <v>Fourniture et pose de Manchon SR12 DN75</v>
          </cell>
          <cell r="D359" t="str">
            <v>U</v>
          </cell>
          <cell r="E359">
            <v>34032</v>
          </cell>
          <cell r="F359">
            <v>10.312727272727273</v>
          </cell>
          <cell r="G359">
            <v>0</v>
          </cell>
        </row>
        <row r="360">
          <cell r="C360" t="str">
            <v>Fourniture et pose de Manchon SR12 DN63</v>
          </cell>
          <cell r="D360" t="str">
            <v>U</v>
          </cell>
          <cell r="E360">
            <v>17521</v>
          </cell>
          <cell r="F360">
            <v>5.3093939393939396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C361" t="str">
            <v>Fourniture et pose de Manchon SR12 DN50</v>
          </cell>
          <cell r="D361" t="str">
            <v>U</v>
          </cell>
          <cell r="E361">
            <v>12669</v>
          </cell>
          <cell r="F361">
            <v>3.8390909090909089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C362" t="str">
            <v>Fourniture et pose de Manchon SR12 DN40</v>
          </cell>
          <cell r="D362" t="str">
            <v>U</v>
          </cell>
          <cell r="E362">
            <v>9300</v>
          </cell>
          <cell r="F362">
            <v>2.8181818181818183</v>
          </cell>
          <cell r="G362">
            <v>0</v>
          </cell>
        </row>
        <row r="363">
          <cell r="C363" t="str">
            <v>Fourniture et pose de Manchon SR12 DN32</v>
          </cell>
          <cell r="D363" t="str">
            <v>U</v>
          </cell>
          <cell r="E363">
            <v>5728</v>
          </cell>
          <cell r="F363">
            <v>1.7357575757575758</v>
          </cell>
          <cell r="G363">
            <v>0</v>
          </cell>
        </row>
        <row r="364">
          <cell r="C364" t="str">
            <v>Fourniture et pose de Manchon SR12 DN25</v>
          </cell>
          <cell r="D364" t="str">
            <v>U</v>
          </cell>
          <cell r="E364">
            <v>4447</v>
          </cell>
          <cell r="F364">
            <v>1.3475757575757576</v>
          </cell>
          <cell r="G364">
            <v>0</v>
          </cell>
        </row>
        <row r="365">
          <cell r="C365" t="str">
            <v>Fourniture et pose de Manchon SR12 DN20</v>
          </cell>
          <cell r="D365" t="str">
            <v>U</v>
          </cell>
          <cell r="E365">
            <v>3706</v>
          </cell>
          <cell r="F365">
            <v>1.123030303030303</v>
          </cell>
          <cell r="G365">
            <v>0</v>
          </cell>
        </row>
        <row r="366">
          <cell r="C366" t="str">
            <v>Fourniture et pose de Manchon Mixtes Mâles SR13 DN90</v>
          </cell>
          <cell r="D366" t="str">
            <v>U</v>
          </cell>
          <cell r="E366">
            <v>25541</v>
          </cell>
          <cell r="F366">
            <v>7.7396969696969693</v>
          </cell>
          <cell r="G366">
            <v>0</v>
          </cell>
        </row>
        <row r="367">
          <cell r="C367" t="str">
            <v>Fourniture et pose de Manchon Mixtes Mâles SR13 DN75</v>
          </cell>
          <cell r="D367" t="str">
            <v>U</v>
          </cell>
          <cell r="E367">
            <v>21632</v>
          </cell>
          <cell r="F367">
            <v>6.5551515151515147</v>
          </cell>
          <cell r="G367">
            <v>0</v>
          </cell>
        </row>
        <row r="368">
          <cell r="C368" t="str">
            <v>Fourniture et pose de Manchon Mixtes Mâles SR13 DN63</v>
          </cell>
          <cell r="D368" t="str">
            <v>U</v>
          </cell>
          <cell r="E368">
            <v>10715</v>
          </cell>
          <cell r="F368">
            <v>3.2469696969696971</v>
          </cell>
          <cell r="G368">
            <v>0</v>
          </cell>
        </row>
        <row r="369">
          <cell r="C369" t="str">
            <v>Fourniture et pose de Manchon Mixtes Mâles SR13 DN50</v>
          </cell>
          <cell r="D369" t="str">
            <v>U</v>
          </cell>
          <cell r="E369">
            <v>7547</v>
          </cell>
          <cell r="F369">
            <v>2.2869696969696971</v>
          </cell>
          <cell r="G369">
            <v>0</v>
          </cell>
        </row>
        <row r="370">
          <cell r="C370" t="str">
            <v>Fourniture et pose de Manchon Mixtes Mâles SR13 DN40</v>
          </cell>
          <cell r="D370" t="str">
            <v>U</v>
          </cell>
          <cell r="E370">
            <v>5795</v>
          </cell>
          <cell r="F370">
            <v>1.7560606060606061</v>
          </cell>
          <cell r="G370">
            <v>0</v>
          </cell>
        </row>
        <row r="371">
          <cell r="C371" t="str">
            <v>Fourniture et pose de Manchon Mixtes Mâles SR13 DN32</v>
          </cell>
          <cell r="D371" t="str">
            <v>U</v>
          </cell>
          <cell r="E371">
            <v>3100</v>
          </cell>
          <cell r="F371">
            <v>0.93939393939393945</v>
          </cell>
          <cell r="G371">
            <v>0</v>
          </cell>
        </row>
        <row r="372">
          <cell r="C372" t="str">
            <v>Fourniture et pose de Manchon Mixtes Mâles SR13 DN25</v>
          </cell>
          <cell r="D372" t="str">
            <v>U</v>
          </cell>
          <cell r="E372">
            <v>2493</v>
          </cell>
          <cell r="F372">
            <v>0.75545454545454549</v>
          </cell>
          <cell r="G372">
            <v>0</v>
          </cell>
        </row>
        <row r="373">
          <cell r="C373" t="str">
            <v>Fourniture et pose de Manchon Mixtes Mâles SR13 DN20</v>
          </cell>
          <cell r="D373" t="str">
            <v>U</v>
          </cell>
          <cell r="E373">
            <v>2089</v>
          </cell>
          <cell r="F373">
            <v>0.63303030303030305</v>
          </cell>
          <cell r="G373">
            <v>0</v>
          </cell>
        </row>
        <row r="374">
          <cell r="C374" t="str">
            <v>Fourniture et pose de Manchon mixte femelle SR 14 DN110</v>
          </cell>
          <cell r="D374" t="str">
            <v>U</v>
          </cell>
          <cell r="E374">
            <v>64763</v>
          </cell>
          <cell r="F374">
            <v>19.625151515151515</v>
          </cell>
          <cell r="G374">
            <v>0</v>
          </cell>
        </row>
        <row r="375">
          <cell r="C375" t="str">
            <v>Fourniture et pose de Manchon mixte femelle SR 14 DN90</v>
          </cell>
          <cell r="D375" t="str">
            <v>U</v>
          </cell>
          <cell r="E375">
            <v>27361</v>
          </cell>
          <cell r="F375">
            <v>8.291212121212121</v>
          </cell>
          <cell r="G375">
            <v>0</v>
          </cell>
        </row>
        <row r="376">
          <cell r="C376" t="str">
            <v>Fourniture et pose de Manchon mixte femelle SR 14 DN75</v>
          </cell>
          <cell r="D376" t="str">
            <v>U</v>
          </cell>
          <cell r="E376">
            <v>22306</v>
          </cell>
          <cell r="F376">
            <v>6.7593939393939397</v>
          </cell>
          <cell r="G376">
            <v>0</v>
          </cell>
        </row>
        <row r="377">
          <cell r="C377" t="str">
            <v>Fourniture et pose de Manchon mixte femelle SR 14 DN63</v>
          </cell>
          <cell r="D377" t="str">
            <v>U</v>
          </cell>
          <cell r="E377">
            <v>10850</v>
          </cell>
          <cell r="F377">
            <v>3.2878787878787881</v>
          </cell>
          <cell r="G377">
            <v>0</v>
          </cell>
        </row>
        <row r="378">
          <cell r="C378" t="str">
            <v>Fourniture et pose de Manchon mixte femelle SR 14 DN50</v>
          </cell>
          <cell r="D378" t="str">
            <v>U</v>
          </cell>
          <cell r="E378">
            <v>7682</v>
          </cell>
          <cell r="F378">
            <v>2.3278787878787877</v>
          </cell>
        </row>
        <row r="379">
          <cell r="C379" t="str">
            <v>Fourniture et pose de Manchon mixte femelle SR 14 DN40</v>
          </cell>
          <cell r="D379" t="str">
            <v>U</v>
          </cell>
          <cell r="E379">
            <v>5323</v>
          </cell>
          <cell r="F379">
            <v>1.613030303030303</v>
          </cell>
          <cell r="G379">
            <v>0</v>
          </cell>
        </row>
        <row r="380">
          <cell r="C380" t="str">
            <v>Fourniture et pose de Manchon mixte femelle SR 14 DN32</v>
          </cell>
          <cell r="D380" t="str">
            <v>U</v>
          </cell>
          <cell r="E380">
            <v>3436</v>
          </cell>
          <cell r="F380">
            <v>1.0412121212121213</v>
          </cell>
          <cell r="G380">
            <v>0</v>
          </cell>
        </row>
        <row r="381">
          <cell r="C381" t="str">
            <v>Fourniture et pose de Manchon mixte femelle SR 14 DN25</v>
          </cell>
          <cell r="D381" t="str">
            <v>U</v>
          </cell>
          <cell r="E381">
            <v>2695</v>
          </cell>
          <cell r="F381">
            <v>0.81666666666666665</v>
          </cell>
        </row>
        <row r="382">
          <cell r="C382" t="str">
            <v>Fourniture et pose de Manchon mixte femelle SR 14 DN20</v>
          </cell>
          <cell r="D382" t="str">
            <v>U</v>
          </cell>
          <cell r="E382">
            <v>2358</v>
          </cell>
          <cell r="F382">
            <v>0.71454545454545459</v>
          </cell>
          <cell r="G382">
            <v>0</v>
          </cell>
        </row>
        <row r="383">
          <cell r="C383" t="str">
            <v>Fourniture et pose de manchon réduit 110X90</v>
          </cell>
          <cell r="D383" t="str">
            <v>U</v>
          </cell>
          <cell r="E383">
            <v>86126</v>
          </cell>
          <cell r="F383">
            <v>26.098787878787878</v>
          </cell>
          <cell r="G383">
            <v>0</v>
          </cell>
        </row>
        <row r="384">
          <cell r="C384" t="str">
            <v>Fourniture et pose de manchon réduit 90X75</v>
          </cell>
          <cell r="D384" t="str">
            <v>U</v>
          </cell>
          <cell r="E384">
            <v>41109</v>
          </cell>
          <cell r="F384">
            <v>12.457272727272727</v>
          </cell>
          <cell r="G384">
            <v>0</v>
          </cell>
        </row>
        <row r="385">
          <cell r="C385" t="str">
            <v>Fourniture et pose de manchon réduit 90X63</v>
          </cell>
          <cell r="D385" t="str">
            <v>U</v>
          </cell>
          <cell r="E385">
            <v>41109</v>
          </cell>
          <cell r="F385">
            <v>12.457272727272727</v>
          </cell>
          <cell r="G385">
            <v>0</v>
          </cell>
        </row>
        <row r="386">
          <cell r="C386" t="str">
            <v>Fourniture et pose de manchon réduit 75/63</v>
          </cell>
          <cell r="D386" t="str">
            <v>U</v>
          </cell>
          <cell r="E386">
            <v>31067</v>
          </cell>
          <cell r="F386">
            <v>9.4142424242424241</v>
          </cell>
          <cell r="G386">
            <v>0</v>
          </cell>
        </row>
        <row r="387">
          <cell r="C387" t="str">
            <v>Fourniture et pose de manchon réduit 75/50</v>
          </cell>
          <cell r="D387" t="str">
            <v>U</v>
          </cell>
          <cell r="E387">
            <v>31067</v>
          </cell>
          <cell r="F387">
            <v>9.4142424242424241</v>
          </cell>
          <cell r="G387">
            <v>0</v>
          </cell>
        </row>
        <row r="388">
          <cell r="C388" t="str">
            <v>Fourniture et pose de manchon réduit 63/50</v>
          </cell>
          <cell r="D388" t="str">
            <v>U</v>
          </cell>
          <cell r="E388">
            <v>16511</v>
          </cell>
          <cell r="F388">
            <v>5.003333333333333</v>
          </cell>
          <cell r="G388">
            <v>0</v>
          </cell>
        </row>
        <row r="389">
          <cell r="C389" t="str">
            <v>Fourniture et pose de manchon réduit 63/40</v>
          </cell>
          <cell r="D389" t="str">
            <v>U</v>
          </cell>
          <cell r="E389">
            <v>16511</v>
          </cell>
          <cell r="F389">
            <v>5.003333333333333</v>
          </cell>
          <cell r="G389">
            <v>0</v>
          </cell>
        </row>
        <row r="390">
          <cell r="C390" t="str">
            <v>Fourniture et pose de manchon réduit 63/32</v>
          </cell>
          <cell r="D390" t="str">
            <v>U</v>
          </cell>
          <cell r="E390">
            <v>16511</v>
          </cell>
          <cell r="F390">
            <v>5.003333333333333</v>
          </cell>
          <cell r="G390">
            <v>0</v>
          </cell>
        </row>
        <row r="391">
          <cell r="C391" t="str">
            <v>Fourniture et pose de manchon réduit 63/25</v>
          </cell>
          <cell r="D391" t="str">
            <v>U</v>
          </cell>
          <cell r="E391">
            <v>126647</v>
          </cell>
          <cell r="F391">
            <v>38.377878787878785</v>
          </cell>
          <cell r="G391">
            <v>0</v>
          </cell>
        </row>
        <row r="392">
          <cell r="C392" t="str">
            <v>Fourniture et pose de manchon réduit 50/40</v>
          </cell>
          <cell r="D392" t="str">
            <v>U</v>
          </cell>
          <cell r="E392">
            <v>11658</v>
          </cell>
          <cell r="F392">
            <v>3.5327272727272727</v>
          </cell>
          <cell r="G392">
            <v>0</v>
          </cell>
        </row>
        <row r="393">
          <cell r="C393" t="str">
            <v>Fourniture et pose de manchon réduit 50/32</v>
          </cell>
          <cell r="D393" t="str">
            <v>U</v>
          </cell>
          <cell r="E393">
            <v>11658</v>
          </cell>
          <cell r="F393">
            <v>3.5327272727272727</v>
          </cell>
          <cell r="G393">
            <v>0</v>
          </cell>
        </row>
        <row r="394">
          <cell r="C394" t="str">
            <v>Fourniture et pose de manchon réduit 50/25</v>
          </cell>
          <cell r="D394" t="str">
            <v>U</v>
          </cell>
          <cell r="E394">
            <v>11658</v>
          </cell>
          <cell r="F394">
            <v>3.5327272727272727</v>
          </cell>
          <cell r="G394">
            <v>0</v>
          </cell>
        </row>
        <row r="395">
          <cell r="C395" t="str">
            <v>Fourniture et pose de manchon réduit 40/32</v>
          </cell>
          <cell r="D395" t="str">
            <v>U</v>
          </cell>
          <cell r="E395">
            <v>9300</v>
          </cell>
          <cell r="F395">
            <v>2.8181818181818183</v>
          </cell>
          <cell r="G395">
            <v>0</v>
          </cell>
        </row>
        <row r="396">
          <cell r="C396" t="str">
            <v>Fourniture et pose de manchon réduit 40/25</v>
          </cell>
          <cell r="D396" t="str">
            <v>U</v>
          </cell>
          <cell r="E396">
            <v>9300</v>
          </cell>
          <cell r="F396">
            <v>2.8181818181818183</v>
          </cell>
          <cell r="G396">
            <v>0</v>
          </cell>
        </row>
        <row r="397">
          <cell r="C397" t="str">
            <v>Fourniture et pose de manchon réduit 32/25</v>
          </cell>
          <cell r="D397" t="str">
            <v>U</v>
          </cell>
          <cell r="E397">
            <v>5256</v>
          </cell>
          <cell r="F397">
            <v>1.5927272727272728</v>
          </cell>
          <cell r="G397">
            <v>0</v>
          </cell>
        </row>
        <row r="398">
          <cell r="C398" t="str">
            <v>Fourniture et pose de manchon réduit 32/20</v>
          </cell>
          <cell r="D398" t="str">
            <v>U</v>
          </cell>
          <cell r="E398">
            <v>5256</v>
          </cell>
          <cell r="F398">
            <v>1.5927272727272728</v>
          </cell>
          <cell r="G398">
            <v>0</v>
          </cell>
        </row>
        <row r="399">
          <cell r="C399" t="str">
            <v>Fourniture et pose de manchon réduit 25/20</v>
          </cell>
          <cell r="D399" t="str">
            <v>U</v>
          </cell>
          <cell r="E399">
            <v>5256</v>
          </cell>
          <cell r="F399">
            <v>1.5927272727272728</v>
          </cell>
          <cell r="G399">
            <v>0</v>
          </cell>
        </row>
        <row r="400">
          <cell r="C400" t="str">
            <v>Fourniture et pose de Coude 90° DN110</v>
          </cell>
          <cell r="D400" t="str">
            <v>U</v>
          </cell>
          <cell r="E400">
            <v>83094</v>
          </cell>
          <cell r="F400">
            <v>25.18</v>
          </cell>
          <cell r="G400">
            <v>0</v>
          </cell>
        </row>
        <row r="401">
          <cell r="C401" t="str">
            <v>Fourniture et pose de Coude 90° DN90</v>
          </cell>
          <cell r="D401" t="str">
            <v>U</v>
          </cell>
          <cell r="E401">
            <v>42254</v>
          </cell>
          <cell r="F401">
            <v>12.804242424242425</v>
          </cell>
          <cell r="G401">
            <v>0</v>
          </cell>
        </row>
        <row r="402">
          <cell r="C402" t="str">
            <v>Fourniture et pose de Coude 90° DN75</v>
          </cell>
          <cell r="D402" t="str">
            <v>U</v>
          </cell>
          <cell r="E402">
            <v>33022</v>
          </cell>
          <cell r="F402">
            <v>10.006666666666666</v>
          </cell>
          <cell r="G402">
            <v>0</v>
          </cell>
        </row>
        <row r="403">
          <cell r="C403" t="str">
            <v>Fourniture et pose de Coude 90° DN63</v>
          </cell>
          <cell r="D403" t="str">
            <v>U</v>
          </cell>
          <cell r="E403">
            <v>17184</v>
          </cell>
          <cell r="F403">
            <v>5.2072727272727271</v>
          </cell>
        </row>
        <row r="404">
          <cell r="C404" t="str">
            <v>Fourniture et pose de Coude 90° DN50</v>
          </cell>
          <cell r="D404" t="str">
            <v>U</v>
          </cell>
          <cell r="E404">
            <v>13613</v>
          </cell>
          <cell r="F404">
            <v>4.125151515151515</v>
          </cell>
          <cell r="G404">
            <v>0</v>
          </cell>
        </row>
        <row r="405">
          <cell r="C405" t="str">
            <v>Fourniture et pose de Coude 90° DN40</v>
          </cell>
          <cell r="D405" t="str">
            <v>U</v>
          </cell>
          <cell r="E405">
            <v>9704</v>
          </cell>
          <cell r="F405">
            <v>2.9406060606060604</v>
          </cell>
          <cell r="G405">
            <v>0</v>
          </cell>
        </row>
        <row r="406">
          <cell r="C406" t="str">
            <v>Fourniture et pose de Coude 90° DN32</v>
          </cell>
          <cell r="D406" t="str">
            <v>U</v>
          </cell>
          <cell r="E406">
            <v>5526</v>
          </cell>
          <cell r="F406">
            <v>1.6745454545454546</v>
          </cell>
          <cell r="G406">
            <v>0</v>
          </cell>
        </row>
        <row r="407">
          <cell r="C407" t="str">
            <v>Fourniture et pose de Coude 90° DN25</v>
          </cell>
          <cell r="D407" t="str">
            <v>U</v>
          </cell>
          <cell r="E407">
            <v>4515</v>
          </cell>
          <cell r="F407">
            <v>1.3681818181818182</v>
          </cell>
          <cell r="G407">
            <v>0</v>
          </cell>
        </row>
        <row r="408">
          <cell r="C408" t="str">
            <v>Fourniture et pose de Coude 90° DN20</v>
          </cell>
          <cell r="D408" t="str">
            <v>U</v>
          </cell>
          <cell r="E408">
            <v>3706</v>
          </cell>
          <cell r="F408">
            <v>1.123030303030303</v>
          </cell>
          <cell r="G408">
            <v>0</v>
          </cell>
        </row>
        <row r="409">
          <cell r="C409" t="str">
            <v>Fourniture et pose de Coude 90° taraudée 63</v>
          </cell>
          <cell r="D409" t="str">
            <v>U</v>
          </cell>
          <cell r="E409">
            <v>16443</v>
          </cell>
          <cell r="F409">
            <v>4.9827272727272724</v>
          </cell>
          <cell r="G409">
            <v>0</v>
          </cell>
        </row>
        <row r="410">
          <cell r="C410" t="str">
            <v>Fourniture et pose de Coude 90° taraudée 50</v>
          </cell>
          <cell r="D410" t="str">
            <v>U</v>
          </cell>
          <cell r="E410">
            <v>12332</v>
          </cell>
          <cell r="F410">
            <v>3.7369696969696968</v>
          </cell>
          <cell r="G410">
            <v>0</v>
          </cell>
        </row>
        <row r="411">
          <cell r="C411" t="str">
            <v>Fourniture et pose de Coude 90° taraudée 40</v>
          </cell>
          <cell r="D411" t="str">
            <v>U</v>
          </cell>
          <cell r="E411">
            <v>9300</v>
          </cell>
          <cell r="F411">
            <v>2.8181818181818183</v>
          </cell>
          <cell r="G411">
            <v>0</v>
          </cell>
        </row>
        <row r="412">
          <cell r="C412" t="str">
            <v>Fourniture et pose de Coude 90° taraudée 32</v>
          </cell>
          <cell r="D412" t="str">
            <v>U</v>
          </cell>
          <cell r="E412">
            <v>4110</v>
          </cell>
          <cell r="F412">
            <v>1.2454545454545454</v>
          </cell>
          <cell r="G412">
            <v>0</v>
          </cell>
        </row>
        <row r="413">
          <cell r="C413" t="str">
            <v>Fourniture et pose de Coude 90° taraudée 25</v>
          </cell>
          <cell r="D413" t="str">
            <v>U</v>
          </cell>
          <cell r="E413">
            <v>3436</v>
          </cell>
          <cell r="F413">
            <v>1.0412121212121213</v>
          </cell>
          <cell r="G413">
            <v>0</v>
          </cell>
        </row>
        <row r="414">
          <cell r="C414" t="str">
            <v>Fourniture et pose de Coude 90° taraudée 20</v>
          </cell>
          <cell r="D414" t="str">
            <v>U</v>
          </cell>
          <cell r="E414">
            <v>2763</v>
          </cell>
          <cell r="F414">
            <v>0.83727272727272728</v>
          </cell>
          <cell r="G414">
            <v>0</v>
          </cell>
        </row>
        <row r="415">
          <cell r="C415" t="str">
            <v>Fourniture et pose de Tés égaux 90° DN 110</v>
          </cell>
          <cell r="D415" t="str">
            <v>U</v>
          </cell>
          <cell r="E415">
            <v>333337</v>
          </cell>
          <cell r="F415">
            <v>101.01121212121213</v>
          </cell>
          <cell r="G415">
            <v>0</v>
          </cell>
        </row>
        <row r="416">
          <cell r="C416" t="str">
            <v>Fourniture et pose de Tés égaux 90° DN 90</v>
          </cell>
          <cell r="D416" t="str">
            <v>U</v>
          </cell>
          <cell r="E416">
            <v>65100</v>
          </cell>
          <cell r="F416">
            <v>19.727272727272727</v>
          </cell>
          <cell r="G416">
            <v>0</v>
          </cell>
        </row>
        <row r="417">
          <cell r="C417" t="str">
            <v>Fourniture et pose de Tés égaux 90° DN 75</v>
          </cell>
          <cell r="D417" t="str">
            <v>U</v>
          </cell>
          <cell r="E417">
            <v>47107</v>
          </cell>
          <cell r="F417">
            <v>14.274848484848485</v>
          </cell>
          <cell r="G417">
            <v>0</v>
          </cell>
        </row>
        <row r="418">
          <cell r="C418" t="str">
            <v>Fourniture et pose de Tés égaux 90° DN 63</v>
          </cell>
          <cell r="D418" t="str">
            <v>U</v>
          </cell>
          <cell r="E418">
            <v>26282</v>
          </cell>
          <cell r="F418">
            <v>7.9642424242424239</v>
          </cell>
          <cell r="G418">
            <v>0</v>
          </cell>
          <cell r="J418">
            <v>0</v>
          </cell>
          <cell r="K418">
            <v>0</v>
          </cell>
        </row>
        <row r="419">
          <cell r="C419" t="str">
            <v>Fourniture et pose de Tés égaux 90° DN 50</v>
          </cell>
          <cell r="D419" t="str">
            <v>U</v>
          </cell>
          <cell r="E419">
            <v>18465</v>
          </cell>
          <cell r="F419">
            <v>5.5954545454545457</v>
          </cell>
          <cell r="G419">
            <v>0</v>
          </cell>
          <cell r="J419">
            <v>0</v>
          </cell>
        </row>
        <row r="420">
          <cell r="C420" t="str">
            <v>Fourniture et pose de Tés égaux 90° DN 40</v>
          </cell>
          <cell r="D420" t="str">
            <v>U</v>
          </cell>
          <cell r="E420">
            <v>13613</v>
          </cell>
          <cell r="F420">
            <v>4.125151515151515</v>
          </cell>
          <cell r="G420">
            <v>0</v>
          </cell>
          <cell r="J420">
            <v>0</v>
          </cell>
        </row>
        <row r="421">
          <cell r="C421" t="str">
            <v>Fourniture et pose de Tés égaux 90° DN 32</v>
          </cell>
          <cell r="D421" t="str">
            <v>U</v>
          </cell>
          <cell r="E421">
            <v>8289</v>
          </cell>
          <cell r="F421">
            <v>2.5118181818181817</v>
          </cell>
          <cell r="G421">
            <v>0</v>
          </cell>
          <cell r="J421">
            <v>0</v>
          </cell>
        </row>
        <row r="422">
          <cell r="C422" t="str">
            <v>Fourniture et pose de Tés égaux 90° DN 25</v>
          </cell>
          <cell r="D422" t="str">
            <v>U</v>
          </cell>
          <cell r="E422">
            <v>6334</v>
          </cell>
          <cell r="F422">
            <v>1.9193939393939394</v>
          </cell>
          <cell r="G422">
            <v>0</v>
          </cell>
        </row>
        <row r="423">
          <cell r="C423" t="str">
            <v>Fourniture et pose de Tés égaux 90° DN 20</v>
          </cell>
          <cell r="D423" t="str">
            <v>U</v>
          </cell>
          <cell r="E423">
            <v>4784</v>
          </cell>
          <cell r="F423">
            <v>1.4496969696969697</v>
          </cell>
          <cell r="G423">
            <v>0</v>
          </cell>
        </row>
        <row r="424">
          <cell r="C424" t="str">
            <v>Fourniture et pose de Té réduit 110/63/110</v>
          </cell>
          <cell r="D424" t="str">
            <v>U</v>
          </cell>
          <cell r="E424">
            <v>264038</v>
          </cell>
          <cell r="F424">
            <v>80.011515151515155</v>
          </cell>
          <cell r="G424">
            <v>0</v>
          </cell>
        </row>
        <row r="425">
          <cell r="C425" t="str">
            <v>Fourniture et pose de Té réduit 90/75/90</v>
          </cell>
          <cell r="D425" t="str">
            <v>U</v>
          </cell>
          <cell r="E425">
            <v>77029</v>
          </cell>
          <cell r="F425">
            <v>23.342121212121214</v>
          </cell>
          <cell r="G425">
            <v>0</v>
          </cell>
        </row>
        <row r="426">
          <cell r="C426" t="str">
            <v>Fourniture et pose de Té réduit 90/63/90</v>
          </cell>
          <cell r="D426" t="str">
            <v>U</v>
          </cell>
          <cell r="E426">
            <v>48387</v>
          </cell>
          <cell r="F426">
            <v>14.662727272727272</v>
          </cell>
          <cell r="G426">
            <v>0</v>
          </cell>
        </row>
        <row r="427">
          <cell r="C427" t="str">
            <v>Fourniture et pose de Té réduit 75/63/75</v>
          </cell>
          <cell r="D427" t="str">
            <v>U</v>
          </cell>
          <cell r="E427">
            <v>93312</v>
          </cell>
          <cell r="F427">
            <v>28.276363636363637</v>
          </cell>
          <cell r="G427">
            <v>0</v>
          </cell>
        </row>
        <row r="428">
          <cell r="C428" t="str">
            <v>Fourniture et pose de Té réduit 75/50/75</v>
          </cell>
          <cell r="D428" t="str">
            <v>U</v>
          </cell>
          <cell r="E428">
            <v>110131</v>
          </cell>
          <cell r="F428">
            <v>33.373030303030305</v>
          </cell>
          <cell r="G428">
            <v>0</v>
          </cell>
        </row>
        <row r="429">
          <cell r="C429" t="str">
            <v>Fourniture et pose de Té réduit 75/40/75</v>
          </cell>
          <cell r="D429" t="str">
            <v>U</v>
          </cell>
          <cell r="E429">
            <v>109900</v>
          </cell>
          <cell r="F429">
            <v>33.303030303030305</v>
          </cell>
          <cell r="G429">
            <v>0</v>
          </cell>
        </row>
        <row r="430">
          <cell r="C430" t="str">
            <v>Fourniture et pose de Té réduit 63/50/63</v>
          </cell>
          <cell r="D430" t="str">
            <v>U</v>
          </cell>
          <cell r="E430">
            <v>32482</v>
          </cell>
          <cell r="F430">
            <v>9.8430303030303037</v>
          </cell>
          <cell r="G430">
            <v>0</v>
          </cell>
        </row>
        <row r="431">
          <cell r="C431" t="str">
            <v>Fourniture et pose de Té réduit 63/40/63</v>
          </cell>
          <cell r="D431" t="str">
            <v>U</v>
          </cell>
          <cell r="E431">
            <v>50918</v>
          </cell>
          <cell r="F431">
            <v>15.42969696969697</v>
          </cell>
          <cell r="G431">
            <v>0</v>
          </cell>
        </row>
        <row r="432">
          <cell r="C432" t="str">
            <v>Fourniture et pose de Té réduit 63/32/63</v>
          </cell>
          <cell r="D432" t="str">
            <v>U</v>
          </cell>
          <cell r="E432">
            <v>63139</v>
          </cell>
          <cell r="F432">
            <v>19.133030303030303</v>
          </cell>
          <cell r="G432">
            <v>0</v>
          </cell>
        </row>
        <row r="433">
          <cell r="C433" t="str">
            <v>Fourniture et pose de Té réduit 63/25/63</v>
          </cell>
          <cell r="D433" t="str">
            <v>U</v>
          </cell>
          <cell r="E433">
            <v>65521</v>
          </cell>
          <cell r="F433">
            <v>19.854848484848485</v>
          </cell>
          <cell r="G433">
            <v>0</v>
          </cell>
        </row>
        <row r="434">
          <cell r="C434" t="str">
            <v>Fourniture et pose de Té réduit 50/40/50</v>
          </cell>
          <cell r="D434" t="str">
            <v>U</v>
          </cell>
          <cell r="E434">
            <v>23385</v>
          </cell>
          <cell r="F434">
            <v>7.086363636363636</v>
          </cell>
          <cell r="G434">
            <v>0</v>
          </cell>
        </row>
        <row r="435">
          <cell r="C435" t="str">
            <v>Fourniture et pose de Té réduit 50/32/50</v>
          </cell>
          <cell r="D435" t="str">
            <v>U</v>
          </cell>
          <cell r="E435">
            <v>32947</v>
          </cell>
          <cell r="F435">
            <v>9.9839393939393943</v>
          </cell>
          <cell r="G435">
            <v>0</v>
          </cell>
          <cell r="J435">
            <v>0</v>
          </cell>
          <cell r="K435">
            <v>0</v>
          </cell>
        </row>
        <row r="436">
          <cell r="C436" t="str">
            <v>Fourniture et pose de Té réduit 50/25/50</v>
          </cell>
          <cell r="D436" t="str">
            <v>U</v>
          </cell>
          <cell r="E436">
            <v>43015</v>
          </cell>
          <cell r="F436">
            <v>13.034848484848485</v>
          </cell>
          <cell r="G436">
            <v>0</v>
          </cell>
          <cell r="J436">
            <v>0</v>
          </cell>
          <cell r="K436">
            <v>0</v>
          </cell>
        </row>
        <row r="437">
          <cell r="C437" t="str">
            <v>Fourniture et pose de Té réduit 40/32/40</v>
          </cell>
          <cell r="D437" t="str">
            <v>U</v>
          </cell>
          <cell r="E437">
            <v>17926</v>
          </cell>
          <cell r="F437">
            <v>5.4321212121212117</v>
          </cell>
          <cell r="G437">
            <v>0</v>
          </cell>
          <cell r="J437">
            <v>0</v>
          </cell>
          <cell r="K437">
            <v>0</v>
          </cell>
        </row>
        <row r="438">
          <cell r="C438" t="str">
            <v>Fourniture et pose de Té réduit 40/25/40</v>
          </cell>
          <cell r="D438" t="str">
            <v>U</v>
          </cell>
          <cell r="E438">
            <v>25689</v>
          </cell>
          <cell r="F438">
            <v>7.7845454545454542</v>
          </cell>
          <cell r="G438">
            <v>0</v>
          </cell>
          <cell r="J438">
            <v>0</v>
          </cell>
          <cell r="K438">
            <v>0</v>
          </cell>
        </row>
        <row r="439">
          <cell r="C439" t="str">
            <v>Fourniture et pose de Té réduit 32/25/32</v>
          </cell>
          <cell r="D439" t="str">
            <v>U</v>
          </cell>
          <cell r="E439">
            <v>8558</v>
          </cell>
          <cell r="F439">
            <v>2.5933333333333333</v>
          </cell>
          <cell r="G439">
            <v>0</v>
          </cell>
          <cell r="J439">
            <v>0</v>
          </cell>
          <cell r="K439">
            <v>0</v>
          </cell>
        </row>
        <row r="440">
          <cell r="C440" t="str">
            <v>Fourniture et pose de Té réduit 25/20/25</v>
          </cell>
          <cell r="D440" t="str">
            <v>U</v>
          </cell>
          <cell r="E440">
            <v>7278</v>
          </cell>
          <cell r="F440">
            <v>2.2054545454545456</v>
          </cell>
          <cell r="G440">
            <v>0</v>
          </cell>
        </row>
        <row r="441">
          <cell r="C441" t="str">
            <v>Fourniture et pose de Tés à dérivation Filetée DN 75</v>
          </cell>
          <cell r="D441" t="str">
            <v>U</v>
          </cell>
          <cell r="E441">
            <v>45055</v>
          </cell>
          <cell r="F441">
            <v>13.653030303030302</v>
          </cell>
          <cell r="G441">
            <v>0</v>
          </cell>
          <cell r="J441">
            <v>0</v>
          </cell>
          <cell r="K441">
            <v>0</v>
          </cell>
        </row>
        <row r="442">
          <cell r="C442" t="str">
            <v>Fourniture et pose de Tés à dérivation Filetée DN 63</v>
          </cell>
          <cell r="D442" t="str">
            <v>U</v>
          </cell>
          <cell r="E442">
            <v>20739</v>
          </cell>
          <cell r="F442">
            <v>6.2845454545454542</v>
          </cell>
          <cell r="G442">
            <v>0</v>
          </cell>
        </row>
        <row r="443">
          <cell r="C443" t="str">
            <v>Fourniture et pose de Tés à dérivation Filetée DN 50</v>
          </cell>
          <cell r="D443" t="str">
            <v>U</v>
          </cell>
          <cell r="E443">
            <v>13779</v>
          </cell>
          <cell r="F443">
            <v>4.1754545454545458</v>
          </cell>
          <cell r="G443">
            <v>0</v>
          </cell>
        </row>
        <row r="444">
          <cell r="C444" t="str">
            <v>Fourniture et pose de Tés à dérivation Filetée DN 40</v>
          </cell>
          <cell r="D444" t="str">
            <v>U</v>
          </cell>
          <cell r="E444">
            <v>11337</v>
          </cell>
          <cell r="F444">
            <v>3.4354545454545455</v>
          </cell>
          <cell r="G444">
            <v>0</v>
          </cell>
        </row>
        <row r="445">
          <cell r="C445" t="str">
            <v>Fourniture et pose de Tés à dérivation Filetée DN 32</v>
          </cell>
          <cell r="D445" t="str">
            <v>U</v>
          </cell>
          <cell r="E445">
            <v>6464</v>
          </cell>
          <cell r="F445">
            <v>1.9587878787878787</v>
          </cell>
          <cell r="G445">
            <v>0</v>
          </cell>
        </row>
        <row r="446">
          <cell r="C446" t="str">
            <v>Fourniture et pose de Tés à dérivation Filetée DN 25</v>
          </cell>
          <cell r="D446" t="str">
            <v>U</v>
          </cell>
          <cell r="E446">
            <v>5205</v>
          </cell>
          <cell r="F446">
            <v>1.5772727272727274</v>
          </cell>
          <cell r="G446">
            <v>0</v>
          </cell>
        </row>
        <row r="447">
          <cell r="C447" t="str">
            <v>Fourniture et pose de Tés à dérivation Taraudées DN75</v>
          </cell>
          <cell r="D447" t="str">
            <v>U</v>
          </cell>
          <cell r="E447">
            <v>45055</v>
          </cell>
          <cell r="F447">
            <v>13.653030303030302</v>
          </cell>
          <cell r="G447">
            <v>0</v>
          </cell>
        </row>
        <row r="448">
          <cell r="C448" t="str">
            <v>Fourniture et pose de Tés à dérivation Taraudées DN 63</v>
          </cell>
          <cell r="D448" t="str">
            <v>U</v>
          </cell>
          <cell r="E448">
            <v>22105</v>
          </cell>
          <cell r="F448">
            <v>6.6984848484848483</v>
          </cell>
          <cell r="G448">
            <v>0</v>
          </cell>
        </row>
        <row r="449">
          <cell r="C449" t="str">
            <v>Fourniture et pose de Tés à dérivation Taraudées DN 50</v>
          </cell>
          <cell r="D449" t="str">
            <v>U</v>
          </cell>
          <cell r="E449">
            <v>14909</v>
          </cell>
          <cell r="F449">
            <v>4.5178787878787876</v>
          </cell>
          <cell r="G449">
            <v>0</v>
          </cell>
        </row>
        <row r="450">
          <cell r="C450" t="str">
            <v>Fourniture et pose de Tés à dérivation Taraudées DN 40</v>
          </cell>
          <cell r="D450" t="str">
            <v>U</v>
          </cell>
          <cell r="E450">
            <v>12613</v>
          </cell>
          <cell r="F450">
            <v>3.8221212121212123</v>
          </cell>
          <cell r="G450">
            <v>0</v>
          </cell>
        </row>
        <row r="451">
          <cell r="C451" t="str">
            <v>Fourniture et pose de Tés à dérivation Taraudées DN 32</v>
          </cell>
          <cell r="D451" t="str">
            <v>U</v>
          </cell>
          <cell r="E451">
            <v>8276</v>
          </cell>
          <cell r="F451">
            <v>2.5078787878787878</v>
          </cell>
          <cell r="G451">
            <v>0</v>
          </cell>
        </row>
        <row r="452">
          <cell r="C452" t="str">
            <v>Fourniture et pose de Tés à dérivation Taraudées DN 25</v>
          </cell>
          <cell r="D452" t="str">
            <v>U</v>
          </cell>
          <cell r="E452">
            <v>6516</v>
          </cell>
          <cell r="F452">
            <v>1.9745454545454546</v>
          </cell>
          <cell r="G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C455" t="str">
            <v>FOURNITURES EN ACCESSOIRES GALVA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C456" t="str">
            <v>Fourniture de coude 90° galvanisé 100/114</v>
          </cell>
          <cell r="D456" t="str">
            <v>U</v>
          </cell>
          <cell r="E456">
            <v>18750</v>
          </cell>
          <cell r="F456">
            <v>5.6818181818181817</v>
          </cell>
          <cell r="G456">
            <v>0</v>
          </cell>
        </row>
        <row r="457">
          <cell r="C457" t="str">
            <v>Fourniture de coude 90° galvanisé 80/90</v>
          </cell>
          <cell r="D457" t="str">
            <v>U</v>
          </cell>
          <cell r="E457">
            <v>15750</v>
          </cell>
          <cell r="F457">
            <v>4.7727272727272725</v>
          </cell>
          <cell r="G457">
            <v>0</v>
          </cell>
        </row>
        <row r="458">
          <cell r="C458" t="str">
            <v>Fourniture de coude 90° galvanisé 66/76</v>
          </cell>
          <cell r="D458" t="str">
            <v>U</v>
          </cell>
          <cell r="E458">
            <v>8958.75</v>
          </cell>
          <cell r="F458">
            <v>2.7147727272727273</v>
          </cell>
          <cell r="G458">
            <v>0</v>
          </cell>
        </row>
        <row r="459">
          <cell r="C459" t="str">
            <v>Fourniture de coude 90° galvanisé 50/60</v>
          </cell>
          <cell r="D459" t="str">
            <v>U</v>
          </cell>
          <cell r="E459">
            <v>4779</v>
          </cell>
          <cell r="F459">
            <v>1.4481818181818182</v>
          </cell>
          <cell r="G459">
            <v>0</v>
          </cell>
        </row>
        <row r="460">
          <cell r="C460" t="str">
            <v>Fourniture de coude 90°galvanisé 40/49</v>
          </cell>
          <cell r="D460" t="str">
            <v>U</v>
          </cell>
          <cell r="E460">
            <v>3153.6</v>
          </cell>
          <cell r="F460">
            <v>0.95563636363636362</v>
          </cell>
          <cell r="G460">
            <v>0</v>
          </cell>
        </row>
        <row r="461">
          <cell r="C461" t="str">
            <v>Fourniture de coude 90° galvanisé 33/42</v>
          </cell>
          <cell r="D461" t="str">
            <v>U</v>
          </cell>
          <cell r="E461">
            <v>2385</v>
          </cell>
          <cell r="F461">
            <v>0.72272727272727277</v>
          </cell>
          <cell r="G461">
            <v>0</v>
          </cell>
        </row>
        <row r="462">
          <cell r="C462" t="str">
            <v>Fourniture de coude 90° galvanisé 26/33</v>
          </cell>
          <cell r="D462" t="str">
            <v>U</v>
          </cell>
          <cell r="E462">
            <v>1623.6</v>
          </cell>
          <cell r="F462">
            <v>0.49199999999999999</v>
          </cell>
          <cell r="G462">
            <v>0</v>
          </cell>
        </row>
        <row r="463">
          <cell r="C463" t="str">
            <v>Fourniture de coude 90° galvanisé 20/27</v>
          </cell>
          <cell r="D463" t="str">
            <v>U</v>
          </cell>
          <cell r="E463">
            <v>1170</v>
          </cell>
          <cell r="F463">
            <v>0.35454545454545455</v>
          </cell>
          <cell r="G463">
            <v>0</v>
          </cell>
        </row>
        <row r="464">
          <cell r="C464" t="str">
            <v>Fourniture de coude 90° galvanisé 15/21</v>
          </cell>
          <cell r="D464" t="str">
            <v>U</v>
          </cell>
          <cell r="E464">
            <v>900</v>
          </cell>
          <cell r="F464">
            <v>0.27272727272727271</v>
          </cell>
          <cell r="G464">
            <v>0</v>
          </cell>
        </row>
        <row r="465">
          <cell r="C465" t="str">
            <v>Fourniture de Tés égaux galvanisé 66/76</v>
          </cell>
          <cell r="D465" t="str">
            <v>U</v>
          </cell>
          <cell r="E465">
            <v>11975.4</v>
          </cell>
          <cell r="F465">
            <v>3.6289090909090906</v>
          </cell>
          <cell r="G465">
            <v>0</v>
          </cell>
        </row>
        <row r="466">
          <cell r="C466" t="str">
            <v>Fourniture de Tés égaux galvanisé 50/60</v>
          </cell>
          <cell r="D466" t="str">
            <v>U</v>
          </cell>
          <cell r="E466">
            <v>6976.8</v>
          </cell>
          <cell r="F466">
            <v>2.1141818181818182</v>
          </cell>
          <cell r="G466">
            <v>0</v>
          </cell>
        </row>
        <row r="467">
          <cell r="C467" t="str">
            <v>Fourniture de Tés égaux galvanisé 40/49</v>
          </cell>
          <cell r="D467" t="str">
            <v>U</v>
          </cell>
          <cell r="E467">
            <v>6283.8</v>
          </cell>
          <cell r="F467">
            <v>1.9041818181818182</v>
          </cell>
          <cell r="G467">
            <v>0</v>
          </cell>
        </row>
        <row r="468">
          <cell r="C468" t="str">
            <v>Fourniture de Tés égaux galvanisé 33/42</v>
          </cell>
          <cell r="D468" t="str">
            <v>U</v>
          </cell>
          <cell r="E468">
            <v>3439.8</v>
          </cell>
          <cell r="F468">
            <v>1.0423636363636364</v>
          </cell>
          <cell r="G468">
            <v>0</v>
          </cell>
        </row>
        <row r="469">
          <cell r="C469" t="str">
            <v>Fourniture de Tés égaux galvanisé 26/33</v>
          </cell>
          <cell r="D469" t="str">
            <v>U</v>
          </cell>
          <cell r="E469">
            <v>1720.8</v>
          </cell>
          <cell r="F469">
            <v>0.52145454545454539</v>
          </cell>
          <cell r="G469">
            <v>0</v>
          </cell>
        </row>
        <row r="470">
          <cell r="C470" t="str">
            <v>Fourniture de Tés égaux galvanisé 20/27</v>
          </cell>
          <cell r="D470" t="str">
            <v>U</v>
          </cell>
          <cell r="E470">
            <v>1432.8</v>
          </cell>
          <cell r="F470">
            <v>0.43418181818181817</v>
          </cell>
          <cell r="G470">
            <v>0</v>
          </cell>
        </row>
        <row r="471">
          <cell r="C471" t="str">
            <v>Fourniture de Tés égaux galvanisé 15/21</v>
          </cell>
          <cell r="D471" t="str">
            <v>U</v>
          </cell>
          <cell r="E471">
            <v>1179</v>
          </cell>
          <cell r="F471">
            <v>0.3572727272727273</v>
          </cell>
          <cell r="G471">
            <v>0</v>
          </cell>
        </row>
        <row r="472">
          <cell r="C472" t="str">
            <v xml:space="preserve">Fourniture de Té réduit galvanisé 63/50/63 </v>
          </cell>
          <cell r="D472" t="str">
            <v>U</v>
          </cell>
          <cell r="E472">
            <v>5270.4</v>
          </cell>
          <cell r="F472">
            <v>1.5970909090909089</v>
          </cell>
          <cell r="G472">
            <v>0</v>
          </cell>
        </row>
        <row r="473">
          <cell r="C473" t="str">
            <v xml:space="preserve">Fourniture de Té réduit galvanisé 63/40/63 </v>
          </cell>
          <cell r="D473" t="str">
            <v>U</v>
          </cell>
          <cell r="E473">
            <v>6976.5</v>
          </cell>
          <cell r="F473">
            <v>2.1140909090909092</v>
          </cell>
          <cell r="G473">
            <v>0</v>
          </cell>
        </row>
        <row r="474">
          <cell r="C474" t="str">
            <v xml:space="preserve">Fourniture de Té réduit galvanisé 50/32/50 </v>
          </cell>
          <cell r="D474" t="str">
            <v>U</v>
          </cell>
          <cell r="E474">
            <v>3707.1</v>
          </cell>
          <cell r="F474">
            <v>1.1233636363636363</v>
          </cell>
          <cell r="G474">
            <v>0</v>
          </cell>
        </row>
        <row r="475">
          <cell r="C475" t="str">
            <v xml:space="preserve">Fourniture de Té réduit galvanisé 32/25/32 </v>
          </cell>
          <cell r="D475" t="str">
            <v>U</v>
          </cell>
          <cell r="E475">
            <v>1952.1</v>
          </cell>
          <cell r="F475">
            <v>0.59154545454545449</v>
          </cell>
          <cell r="G475">
            <v>0</v>
          </cell>
        </row>
        <row r="476">
          <cell r="C476" t="str">
            <v xml:space="preserve">Fourniture de Té réduit galvanisé 25/20/25 </v>
          </cell>
          <cell r="D476" t="str">
            <v>U</v>
          </cell>
          <cell r="E476">
            <v>1143</v>
          </cell>
          <cell r="F476">
            <v>0.34636363636363637</v>
          </cell>
          <cell r="G476">
            <v>0</v>
          </cell>
        </row>
        <row r="477">
          <cell r="C477" t="str">
            <v>Fourniture de manchon  galvanisé 110/140</v>
          </cell>
          <cell r="D477" t="str">
            <v>U</v>
          </cell>
          <cell r="E477">
            <v>14337</v>
          </cell>
          <cell r="F477">
            <v>4.3445454545454547</v>
          </cell>
          <cell r="G477">
            <v>0</v>
          </cell>
        </row>
        <row r="478">
          <cell r="C478" t="str">
            <v>Fourniture de manchon  galvanisé 80/90</v>
          </cell>
          <cell r="D478" t="str">
            <v>U</v>
          </cell>
          <cell r="E478">
            <v>11730.75</v>
          </cell>
          <cell r="F478">
            <v>3.5547727272727272</v>
          </cell>
          <cell r="G478">
            <v>0</v>
          </cell>
        </row>
        <row r="479">
          <cell r="C479" t="str">
            <v>Fourniture de manchon  galvanisé 66/76</v>
          </cell>
          <cell r="D479" t="str">
            <v>U</v>
          </cell>
          <cell r="E479">
            <v>8602.2000000000007</v>
          </cell>
          <cell r="F479">
            <v>2.606727272727273</v>
          </cell>
          <cell r="G479">
            <v>0</v>
          </cell>
        </row>
        <row r="480">
          <cell r="C480" t="str">
            <v>Fourniture de manchon galvanisé 50/60</v>
          </cell>
          <cell r="D480" t="str">
            <v>U</v>
          </cell>
          <cell r="E480">
            <v>4059</v>
          </cell>
          <cell r="F480">
            <v>1.23</v>
          </cell>
          <cell r="G480">
            <v>0</v>
          </cell>
        </row>
        <row r="481">
          <cell r="C481" t="str">
            <v>Fourniture de manchon galvanisé 40/49</v>
          </cell>
          <cell r="D481" t="str">
            <v>U</v>
          </cell>
          <cell r="E481">
            <v>3224.7</v>
          </cell>
          <cell r="F481">
            <v>0.97718181818181815</v>
          </cell>
          <cell r="G481">
            <v>0</v>
          </cell>
        </row>
        <row r="482">
          <cell r="C482" t="str">
            <v>Fourniture de manchon  galvanisé 33/42</v>
          </cell>
          <cell r="D482" t="str">
            <v>U</v>
          </cell>
          <cell r="E482">
            <v>2689.2</v>
          </cell>
          <cell r="F482">
            <v>0.81490909090909081</v>
          </cell>
          <cell r="G482">
            <v>0</v>
          </cell>
        </row>
        <row r="483">
          <cell r="C483" t="str">
            <v>Fourniture de manchon galvanisé 26/33</v>
          </cell>
          <cell r="D483" t="str">
            <v>U</v>
          </cell>
          <cell r="E483">
            <v>1417.5</v>
          </cell>
          <cell r="F483">
            <v>0.42954545454545456</v>
          </cell>
          <cell r="G483">
            <v>0</v>
          </cell>
        </row>
        <row r="484">
          <cell r="C484" t="str">
            <v>Fourniture de manchon galvanisé 20/27</v>
          </cell>
          <cell r="D484" t="str">
            <v>U</v>
          </cell>
          <cell r="E484">
            <v>738</v>
          </cell>
          <cell r="F484">
            <v>0.22363636363636363</v>
          </cell>
          <cell r="G484">
            <v>0</v>
          </cell>
        </row>
        <row r="485">
          <cell r="C485" t="str">
            <v>Fourniture de manchon galvanisé 15/21</v>
          </cell>
          <cell r="D485" t="str">
            <v>U</v>
          </cell>
          <cell r="E485">
            <v>572.4</v>
          </cell>
          <cell r="F485">
            <v>0.17345454545454544</v>
          </cell>
          <cell r="G485">
            <v>0</v>
          </cell>
        </row>
        <row r="486">
          <cell r="C486" t="str">
            <v>Fourniture de mamelon   galvanisé 66/76</v>
          </cell>
          <cell r="D486" t="str">
            <v>U</v>
          </cell>
          <cell r="E486">
            <v>10750.5</v>
          </cell>
          <cell r="F486">
            <v>3.2577272727272728</v>
          </cell>
          <cell r="G486">
            <v>0</v>
          </cell>
        </row>
        <row r="487">
          <cell r="C487" t="str">
            <v>Fourniture de mamelon  galvanisé 50/60</v>
          </cell>
          <cell r="D487" t="str">
            <v>U</v>
          </cell>
          <cell r="E487">
            <v>4860</v>
          </cell>
          <cell r="F487">
            <v>1.4727272727272727</v>
          </cell>
          <cell r="G487">
            <v>0</v>
          </cell>
        </row>
        <row r="488">
          <cell r="C488" t="str">
            <v>Fourniture de mamelon galvanisé 40/49</v>
          </cell>
          <cell r="D488" t="str">
            <v>U</v>
          </cell>
          <cell r="E488">
            <v>3153.6</v>
          </cell>
          <cell r="F488">
            <v>0.95563636363636362</v>
          </cell>
          <cell r="G488">
            <v>0</v>
          </cell>
        </row>
        <row r="489">
          <cell r="C489" t="str">
            <v>Fourniture de mamelon  galvanisé 33/42</v>
          </cell>
          <cell r="D489" t="str">
            <v>U</v>
          </cell>
          <cell r="E489">
            <v>2385</v>
          </cell>
          <cell r="F489">
            <v>0.72272727272727277</v>
          </cell>
          <cell r="G489">
            <v>0</v>
          </cell>
        </row>
        <row r="490">
          <cell r="C490" t="str">
            <v>Fourniture de mamelon galvanisé 26/33</v>
          </cell>
          <cell r="D490" t="str">
            <v>U</v>
          </cell>
          <cell r="E490">
            <v>1869.3</v>
          </cell>
          <cell r="F490">
            <v>0.56645454545454543</v>
          </cell>
          <cell r="G490">
            <v>0</v>
          </cell>
        </row>
        <row r="491">
          <cell r="C491" t="str">
            <v>Fourniture de mamelon galvanisé 20/27</v>
          </cell>
          <cell r="D491" t="str">
            <v>U</v>
          </cell>
          <cell r="E491">
            <v>1120.5</v>
          </cell>
          <cell r="F491">
            <v>0.33954545454545454</v>
          </cell>
          <cell r="G491">
            <v>0</v>
          </cell>
        </row>
        <row r="492">
          <cell r="C492" t="str">
            <v>Fourniture de mamelon galvanisé 15/21</v>
          </cell>
          <cell r="D492" t="str">
            <v>U</v>
          </cell>
          <cell r="E492">
            <v>765</v>
          </cell>
          <cell r="F492">
            <v>0.23181818181818181</v>
          </cell>
          <cell r="G492">
            <v>0</v>
          </cell>
        </row>
        <row r="493">
          <cell r="C493" t="str">
            <v>Fourniture de raccord union  galvanisé 80/90</v>
          </cell>
          <cell r="D493" t="str">
            <v>U</v>
          </cell>
          <cell r="E493">
            <v>37500</v>
          </cell>
          <cell r="F493">
            <v>11.363636363636363</v>
          </cell>
          <cell r="G493">
            <v>0</v>
          </cell>
        </row>
        <row r="494">
          <cell r="C494" t="str">
            <v>Fourniture de raccord union  galvanisé 66/76</v>
          </cell>
          <cell r="D494" t="str">
            <v>U</v>
          </cell>
          <cell r="E494">
            <v>25234.2</v>
          </cell>
          <cell r="F494">
            <v>7.646727272727273</v>
          </cell>
          <cell r="G494">
            <v>0</v>
          </cell>
        </row>
        <row r="495">
          <cell r="C495" t="str">
            <v>Fourniture de raccord union  galvanisé 50/60</v>
          </cell>
          <cell r="D495" t="str">
            <v>U</v>
          </cell>
          <cell r="E495">
            <v>10888.2</v>
          </cell>
          <cell r="F495">
            <v>3.2994545454545459</v>
          </cell>
          <cell r="G495">
            <v>0</v>
          </cell>
        </row>
        <row r="496">
          <cell r="C496" t="str">
            <v>Fourniture de raccord union  galvanisé 40/49</v>
          </cell>
          <cell r="D496" t="str">
            <v>U</v>
          </cell>
          <cell r="E496">
            <v>7695</v>
          </cell>
          <cell r="F496">
            <v>2.331818181818182</v>
          </cell>
          <cell r="G496">
            <v>0</v>
          </cell>
        </row>
        <row r="497">
          <cell r="C497" t="str">
            <v>Fourniture de raccord union  galvanisé 33/42</v>
          </cell>
          <cell r="D497" t="str">
            <v>U</v>
          </cell>
          <cell r="E497">
            <v>6037.2</v>
          </cell>
          <cell r="F497">
            <v>1.8294545454545454</v>
          </cell>
          <cell r="G497">
            <v>0</v>
          </cell>
        </row>
        <row r="498">
          <cell r="C498" t="str">
            <v>Fourniture de raccord union  galvanisé 26/33</v>
          </cell>
          <cell r="D498" t="str">
            <v>U</v>
          </cell>
          <cell r="E498">
            <v>4257</v>
          </cell>
          <cell r="F498">
            <v>1.29</v>
          </cell>
          <cell r="G498">
            <v>0</v>
          </cell>
        </row>
        <row r="499">
          <cell r="C499" t="str">
            <v>Fourniture de raccord union  galvanisé 20/27</v>
          </cell>
          <cell r="D499" t="str">
            <v>U</v>
          </cell>
          <cell r="E499">
            <v>2925</v>
          </cell>
          <cell r="F499">
            <v>0.88636363636363635</v>
          </cell>
          <cell r="G499">
            <v>0</v>
          </cell>
        </row>
        <row r="500">
          <cell r="C500" t="str">
            <v>Fourniture de raccord union  galvanisé 15/21</v>
          </cell>
          <cell r="D500" t="str">
            <v>U</v>
          </cell>
          <cell r="E500">
            <v>2691</v>
          </cell>
          <cell r="F500">
            <v>0.81545454545454543</v>
          </cell>
          <cell r="G500">
            <v>0</v>
          </cell>
        </row>
        <row r="501">
          <cell r="C501" t="str">
            <v>Fourniture de réduction galvanisé  FF 63*50</v>
          </cell>
          <cell r="D501" t="str">
            <v>U</v>
          </cell>
          <cell r="E501">
            <v>5609.7</v>
          </cell>
          <cell r="F501">
            <v>1.6999090909090908</v>
          </cell>
          <cell r="G501">
            <v>0</v>
          </cell>
        </row>
        <row r="502">
          <cell r="C502" t="str">
            <v>Fourniture de réduction galvanisé  FF 63*40</v>
          </cell>
          <cell r="D502" t="str">
            <v>U</v>
          </cell>
          <cell r="E502">
            <v>5609.7</v>
          </cell>
          <cell r="F502">
            <v>1.6999090909090908</v>
          </cell>
          <cell r="G502">
            <v>0</v>
          </cell>
        </row>
        <row r="503">
          <cell r="C503" t="str">
            <v>Fourniture de réduction galvanisé  FF 63*32</v>
          </cell>
          <cell r="D503" t="str">
            <v>U</v>
          </cell>
          <cell r="E503">
            <v>4941</v>
          </cell>
          <cell r="F503">
            <v>1.4972727272727273</v>
          </cell>
          <cell r="G503">
            <v>0</v>
          </cell>
        </row>
        <row r="504">
          <cell r="C504" t="str">
            <v>Fourniture de réduction galvanisé  FF 63*25</v>
          </cell>
          <cell r="D504" t="str">
            <v>U</v>
          </cell>
          <cell r="E504">
            <v>4941</v>
          </cell>
          <cell r="F504">
            <v>1.4972727272727273</v>
          </cell>
          <cell r="G504">
            <v>0</v>
          </cell>
        </row>
        <row r="505">
          <cell r="C505" t="str">
            <v>Fourniture de réduction galvanisé  FF 63*20</v>
          </cell>
          <cell r="D505" t="str">
            <v>U</v>
          </cell>
          <cell r="E505">
            <v>4549.5</v>
          </cell>
          <cell r="F505">
            <v>1.3786363636363637</v>
          </cell>
          <cell r="G505">
            <v>0</v>
          </cell>
        </row>
        <row r="506">
          <cell r="C506" t="str">
            <v>Fourniture de réduction galvanisé  FF 50*40</v>
          </cell>
          <cell r="D506" t="str">
            <v>U</v>
          </cell>
          <cell r="E506">
            <v>4549.5</v>
          </cell>
          <cell r="F506">
            <v>1.3786363636363637</v>
          </cell>
          <cell r="G506">
            <v>0</v>
          </cell>
        </row>
        <row r="507">
          <cell r="C507" t="str">
            <v>Fourniture de réduction galvanisé  FF 50*32</v>
          </cell>
          <cell r="D507" t="str">
            <v>U</v>
          </cell>
          <cell r="E507">
            <v>4192.2</v>
          </cell>
          <cell r="F507">
            <v>1.2703636363636364</v>
          </cell>
          <cell r="G507">
            <v>0</v>
          </cell>
        </row>
        <row r="508">
          <cell r="C508" t="str">
            <v>Fourniture de réduction galvanisé  FF 40*32</v>
          </cell>
          <cell r="D508" t="str">
            <v>U</v>
          </cell>
          <cell r="E508">
            <v>1823.4</v>
          </cell>
          <cell r="F508">
            <v>0.55254545454545456</v>
          </cell>
          <cell r="G508">
            <v>0</v>
          </cell>
        </row>
        <row r="509">
          <cell r="C509" t="str">
            <v>Fourniture de réduction galvanisé  FF 40*25</v>
          </cell>
          <cell r="D509" t="str">
            <v>U</v>
          </cell>
          <cell r="E509">
            <v>1823.4</v>
          </cell>
          <cell r="F509">
            <v>0.55254545454545456</v>
          </cell>
          <cell r="G509">
            <v>0</v>
          </cell>
        </row>
        <row r="510">
          <cell r="C510" t="str">
            <v>Fourniture de réduction galvanisé  FF 40*20</v>
          </cell>
          <cell r="D510" t="str">
            <v>U</v>
          </cell>
          <cell r="E510">
            <v>1823.4</v>
          </cell>
          <cell r="F510">
            <v>0.55254545454545456</v>
          </cell>
          <cell r="G510">
            <v>0</v>
          </cell>
        </row>
        <row r="511">
          <cell r="C511" t="str">
            <v>Fourniture de réduction galvanisé  FF 32*25</v>
          </cell>
          <cell r="D511" t="str">
            <v>U</v>
          </cell>
          <cell r="E511">
            <v>999.9</v>
          </cell>
          <cell r="F511">
            <v>0.30299999999999999</v>
          </cell>
          <cell r="G511">
            <v>0</v>
          </cell>
        </row>
        <row r="512">
          <cell r="C512" t="str">
            <v>Fourniture de réduction galvanisé  FF 32*20</v>
          </cell>
          <cell r="D512" t="str">
            <v>U</v>
          </cell>
          <cell r="E512">
            <v>1039.5</v>
          </cell>
          <cell r="F512">
            <v>0.315</v>
          </cell>
          <cell r="G512">
            <v>0</v>
          </cell>
        </row>
        <row r="513">
          <cell r="C513" t="str">
            <v>Fourniture de réduction galvanisé  FF 25*20</v>
          </cell>
          <cell r="D513" t="str">
            <v>U</v>
          </cell>
          <cell r="E513">
            <v>916.2</v>
          </cell>
          <cell r="F513">
            <v>0.27763636363636363</v>
          </cell>
          <cell r="G513">
            <v>0</v>
          </cell>
        </row>
        <row r="514">
          <cell r="C514" t="str">
            <v>Fourniture de réduction galvanisé  MF 90*75</v>
          </cell>
          <cell r="D514" t="str">
            <v>U</v>
          </cell>
          <cell r="E514">
            <v>7911.9</v>
          </cell>
          <cell r="F514">
            <v>2.3975454545454546</v>
          </cell>
          <cell r="G514">
            <v>0</v>
          </cell>
        </row>
        <row r="515">
          <cell r="C515" t="str">
            <v>Fourniture de réductions galvanisé  MF 75*63</v>
          </cell>
          <cell r="D515" t="str">
            <v>U</v>
          </cell>
          <cell r="E515">
            <v>6768.9</v>
          </cell>
          <cell r="F515">
            <v>2.051181818181818</v>
          </cell>
          <cell r="G515">
            <v>0</v>
          </cell>
        </row>
        <row r="516">
          <cell r="C516" t="str">
            <v>Fourniture de réduction galvanisé  MF 63*50</v>
          </cell>
          <cell r="D516" t="str">
            <v>U</v>
          </cell>
          <cell r="E516">
            <v>4842</v>
          </cell>
          <cell r="F516">
            <v>1.4672727272727273</v>
          </cell>
          <cell r="G516">
            <v>0</v>
          </cell>
        </row>
        <row r="517">
          <cell r="C517" t="str">
            <v>Fourniture de réduction galvanisé  MF 63*40</v>
          </cell>
          <cell r="D517" t="str">
            <v>U</v>
          </cell>
          <cell r="E517">
            <v>3229.2</v>
          </cell>
          <cell r="F517">
            <v>0.9785454545454545</v>
          </cell>
          <cell r="G517">
            <v>0</v>
          </cell>
        </row>
        <row r="518">
          <cell r="C518" t="str">
            <v>Fourniture de réduction galvanisé  MF 63*32</v>
          </cell>
          <cell r="D518" t="str">
            <v>U</v>
          </cell>
          <cell r="E518">
            <v>3229.2</v>
          </cell>
          <cell r="F518">
            <v>0.9785454545454545</v>
          </cell>
          <cell r="G518">
            <v>0</v>
          </cell>
        </row>
        <row r="519">
          <cell r="C519" t="str">
            <v>Fourniture de réduction galvanisé  MF 63*25</v>
          </cell>
          <cell r="D519" t="str">
            <v>U</v>
          </cell>
          <cell r="E519">
            <v>3229.2</v>
          </cell>
          <cell r="F519">
            <v>0.9785454545454545</v>
          </cell>
          <cell r="G519">
            <v>0</v>
          </cell>
        </row>
        <row r="520">
          <cell r="C520" t="str">
            <v>Fourniture de réduction galvanisé  MF 63*20</v>
          </cell>
          <cell r="D520" t="str">
            <v>U</v>
          </cell>
          <cell r="E520">
            <v>3229.2</v>
          </cell>
          <cell r="F520">
            <v>0.9785454545454545</v>
          </cell>
          <cell r="G520">
            <v>0</v>
          </cell>
        </row>
        <row r="521">
          <cell r="C521" t="str">
            <v>Fourniture de réduction galvanisé  MF 50*40</v>
          </cell>
          <cell r="D521" t="str">
            <v>U</v>
          </cell>
          <cell r="E521">
            <v>2340.9</v>
          </cell>
          <cell r="F521">
            <v>0.70936363636363642</v>
          </cell>
          <cell r="G521">
            <v>0</v>
          </cell>
        </row>
        <row r="522">
          <cell r="C522" t="str">
            <v>Fourniture de réduction galvanisé  MF 50*32</v>
          </cell>
          <cell r="D522" t="str">
            <v>U</v>
          </cell>
          <cell r="E522">
            <v>2340.9</v>
          </cell>
          <cell r="F522">
            <v>0.70936363636363642</v>
          </cell>
          <cell r="G522">
            <v>0</v>
          </cell>
        </row>
        <row r="523">
          <cell r="C523" t="str">
            <v>Fourniture de réduction galvanisé  MF 40*32</v>
          </cell>
          <cell r="D523" t="str">
            <v>U</v>
          </cell>
          <cell r="E523">
            <v>1780.2</v>
          </cell>
          <cell r="F523">
            <v>0.53945454545454552</v>
          </cell>
          <cell r="G523">
            <v>0</v>
          </cell>
        </row>
        <row r="524">
          <cell r="C524" t="str">
            <v>Fourniture de réduction galvanisé  MF 40*25</v>
          </cell>
          <cell r="D524" t="str">
            <v>U</v>
          </cell>
          <cell r="E524">
            <v>1780.2</v>
          </cell>
          <cell r="F524">
            <v>0.53945454545454552</v>
          </cell>
          <cell r="G524">
            <v>0</v>
          </cell>
        </row>
        <row r="525">
          <cell r="C525" t="str">
            <v>Fourniture de réduction galvanisé  MF 40*20</v>
          </cell>
          <cell r="D525" t="str">
            <v>U</v>
          </cell>
          <cell r="E525">
            <v>1780.2</v>
          </cell>
          <cell r="F525">
            <v>0.53945454545454552</v>
          </cell>
          <cell r="G525">
            <v>0</v>
          </cell>
        </row>
        <row r="526">
          <cell r="C526" t="str">
            <v>Fourniture de réduction galvanisé  MF 32*25</v>
          </cell>
          <cell r="D526" t="str">
            <v>U</v>
          </cell>
          <cell r="E526">
            <v>936</v>
          </cell>
          <cell r="F526">
            <v>0.28363636363636363</v>
          </cell>
          <cell r="G526">
            <v>0</v>
          </cell>
        </row>
        <row r="527">
          <cell r="C527" t="str">
            <v>Fourniture de réduction galvanisé  MF 32*20</v>
          </cell>
          <cell r="D527" t="str">
            <v>U</v>
          </cell>
          <cell r="E527">
            <v>936</v>
          </cell>
          <cell r="F527">
            <v>0.28363636363636363</v>
          </cell>
          <cell r="G527">
            <v>0</v>
          </cell>
        </row>
        <row r="528">
          <cell r="C528" t="str">
            <v>Fourniture de réduction galvanisé  MF 25*20</v>
          </cell>
          <cell r="D528" t="str">
            <v>U</v>
          </cell>
          <cell r="E528">
            <v>916.2</v>
          </cell>
          <cell r="F528">
            <v>0.27763636363636363</v>
          </cell>
          <cell r="G528">
            <v>0</v>
          </cell>
        </row>
        <row r="529">
          <cell r="C529" t="str">
            <v>Fourniture de bouchon mâle  galvanisé 50/60</v>
          </cell>
          <cell r="D529" t="str">
            <v>U</v>
          </cell>
          <cell r="E529">
            <v>2405.6999999999998</v>
          </cell>
          <cell r="F529">
            <v>0.72899999999999998</v>
          </cell>
          <cell r="G529">
            <v>0</v>
          </cell>
        </row>
        <row r="530">
          <cell r="C530" t="str">
            <v>Fourniture de bouchon mâle  galvanisé 40/49</v>
          </cell>
          <cell r="D530" t="str">
            <v>U</v>
          </cell>
          <cell r="E530">
            <v>2693.7</v>
          </cell>
          <cell r="F530">
            <v>0.81627272727272726</v>
          </cell>
          <cell r="G530">
            <v>0</v>
          </cell>
        </row>
        <row r="531">
          <cell r="C531" t="str">
            <v>Fourniture de bouchon mâle  galvanisé 33/42</v>
          </cell>
          <cell r="D531" t="str">
            <v>U</v>
          </cell>
          <cell r="E531">
            <v>1755</v>
          </cell>
          <cell r="F531">
            <v>0.53181818181818186</v>
          </cell>
          <cell r="G531">
            <v>0</v>
          </cell>
        </row>
        <row r="532">
          <cell r="C532" t="str">
            <v>Fourniture de bouchon mâle  galvanisé 26/33</v>
          </cell>
          <cell r="D532" t="str">
            <v>U</v>
          </cell>
          <cell r="E532">
            <v>945</v>
          </cell>
          <cell r="F532">
            <v>0.28636363636363638</v>
          </cell>
          <cell r="G532">
            <v>0</v>
          </cell>
        </row>
        <row r="533">
          <cell r="C533" t="str">
            <v>Fourniture de bouchon mâle  galvanisé 20/27</v>
          </cell>
          <cell r="D533" t="str">
            <v>U</v>
          </cell>
          <cell r="E533">
            <v>596.70000000000005</v>
          </cell>
          <cell r="F533">
            <v>0.18081818181818182</v>
          </cell>
          <cell r="G533">
            <v>0</v>
          </cell>
        </row>
        <row r="534">
          <cell r="C534" t="str">
            <v>Fourniture de bouchon mâle  galvanisé 15/21</v>
          </cell>
          <cell r="D534" t="str">
            <v>U</v>
          </cell>
          <cell r="E534">
            <v>513</v>
          </cell>
          <cell r="F534">
            <v>0.15545454545454546</v>
          </cell>
          <cell r="G534">
            <v>0</v>
          </cell>
        </row>
        <row r="535">
          <cell r="C535" t="str">
            <v>Fourniture de bouchon femelle  galvanisé 33/42</v>
          </cell>
          <cell r="D535" t="str">
            <v>U</v>
          </cell>
          <cell r="E535">
            <v>1755</v>
          </cell>
          <cell r="F535">
            <v>0.53181818181818186</v>
          </cell>
          <cell r="G535">
            <v>0</v>
          </cell>
        </row>
        <row r="536">
          <cell r="C536" t="str">
            <v>Fourniture de bouchon femelle  galvanisé 26/33</v>
          </cell>
          <cell r="D536" t="str">
            <v>U</v>
          </cell>
          <cell r="E536">
            <v>945</v>
          </cell>
          <cell r="F536">
            <v>0.28636363636363638</v>
          </cell>
          <cell r="G536">
            <v>0</v>
          </cell>
        </row>
        <row r="537">
          <cell r="C537" t="str">
            <v>Fourniture de bouchon femelle  galvanisé 20/27</v>
          </cell>
          <cell r="D537" t="str">
            <v>U</v>
          </cell>
          <cell r="E537">
            <v>596.70000000000005</v>
          </cell>
          <cell r="F537">
            <v>0.18081818181818182</v>
          </cell>
          <cell r="G537">
            <v>0</v>
          </cell>
        </row>
        <row r="538">
          <cell r="C538" t="str">
            <v>Fourniture de bouchon femelle  galvanisé 15/21</v>
          </cell>
          <cell r="D538" t="str">
            <v>U</v>
          </cell>
          <cell r="E538">
            <v>513</v>
          </cell>
          <cell r="F538">
            <v>0.15545454545454546</v>
          </cell>
          <cell r="G538">
            <v>0</v>
          </cell>
        </row>
        <row r="539">
          <cell r="C539" t="str">
            <v>Fourniture de vanne en laiton 50/60</v>
          </cell>
          <cell r="D539" t="str">
            <v>U</v>
          </cell>
          <cell r="E539">
            <v>45276.3</v>
          </cell>
          <cell r="F539">
            <v>13.72009090909091</v>
          </cell>
          <cell r="G539">
            <v>0</v>
          </cell>
        </row>
        <row r="540">
          <cell r="C540" t="str">
            <v>Fourniture de vanne en laiton 40/49</v>
          </cell>
          <cell r="D540" t="str">
            <v>U</v>
          </cell>
          <cell r="E540">
            <v>31500</v>
          </cell>
          <cell r="F540">
            <v>9.545454545454545</v>
          </cell>
          <cell r="G540">
            <v>0</v>
          </cell>
        </row>
        <row r="541">
          <cell r="C541" t="str">
            <v>Fourniture de vanne en laiton 33/42</v>
          </cell>
          <cell r="D541" t="str">
            <v>U</v>
          </cell>
          <cell r="E541">
            <v>22500</v>
          </cell>
          <cell r="F541">
            <v>6.8181818181818183</v>
          </cell>
          <cell r="G541">
            <v>0</v>
          </cell>
        </row>
        <row r="542">
          <cell r="C542" t="str">
            <v>Fourniture de vanne en laiton 26/33</v>
          </cell>
          <cell r="D542" t="str">
            <v>U</v>
          </cell>
          <cell r="E542">
            <v>14850</v>
          </cell>
          <cell r="F542">
            <v>4.5</v>
          </cell>
          <cell r="G542">
            <v>0</v>
          </cell>
        </row>
        <row r="543">
          <cell r="C543" t="str">
            <v>Fourniture de vanne en laiton 20/27</v>
          </cell>
          <cell r="D543" t="str">
            <v>U</v>
          </cell>
          <cell r="E543">
            <v>8100</v>
          </cell>
          <cell r="F543">
            <v>2.4545454545454546</v>
          </cell>
          <cell r="G543">
            <v>0</v>
          </cell>
        </row>
        <row r="544">
          <cell r="C544" t="str">
            <v>Fourniture de vanne en laiton 15/21</v>
          </cell>
          <cell r="D544" t="str">
            <v>U</v>
          </cell>
          <cell r="E544">
            <v>7200</v>
          </cell>
          <cell r="F544">
            <v>2.1818181818181817</v>
          </cell>
          <cell r="G544">
            <v>0</v>
          </cell>
        </row>
        <row r="545">
          <cell r="C545" t="str">
            <v>Fourniture de vanne ¼ de tour galvanisé 100/114</v>
          </cell>
          <cell r="D545" t="str">
            <v>U</v>
          </cell>
          <cell r="E545">
            <v>360000</v>
          </cell>
          <cell r="F545">
            <v>109.09090909090909</v>
          </cell>
          <cell r="G545">
            <v>0</v>
          </cell>
        </row>
        <row r="546">
          <cell r="C546" t="str">
            <v>Fourniture de vanne ¼ de tour galvanisé 80/90</v>
          </cell>
          <cell r="D546" t="str">
            <v>U</v>
          </cell>
          <cell r="E546">
            <v>123417.9</v>
          </cell>
          <cell r="F546">
            <v>37.399363636363631</v>
          </cell>
          <cell r="G546">
            <v>0</v>
          </cell>
        </row>
        <row r="547">
          <cell r="C547" t="str">
            <v>Fourniture de vanne ¼ de tour galvanisé. 66/76</v>
          </cell>
          <cell r="D547" t="str">
            <v>U</v>
          </cell>
          <cell r="E547">
            <v>85843.8</v>
          </cell>
          <cell r="F547">
            <v>26.013272727272728</v>
          </cell>
          <cell r="G547">
            <v>0</v>
          </cell>
        </row>
        <row r="548">
          <cell r="C548" t="str">
            <v>Fourniture de vanne ¼ de tour galvanisé 50/60</v>
          </cell>
          <cell r="D548" t="str">
            <v>U</v>
          </cell>
          <cell r="E548">
            <v>45276.3</v>
          </cell>
          <cell r="F548">
            <v>13.72009090909091</v>
          </cell>
          <cell r="G548">
            <v>0</v>
          </cell>
        </row>
        <row r="549">
          <cell r="C549" t="str">
            <v>Fourniture de vanne ¼ de tour galvanisé 40/49</v>
          </cell>
          <cell r="D549" t="str">
            <v>U</v>
          </cell>
          <cell r="E549">
            <v>29520</v>
          </cell>
          <cell r="F549">
            <v>8.9454545454545453</v>
          </cell>
          <cell r="G549">
            <v>0</v>
          </cell>
        </row>
        <row r="550">
          <cell r="C550" t="str">
            <v>Fourniture de vanne ¼ de tour galvanisé 33/42</v>
          </cell>
          <cell r="D550" t="str">
            <v>U</v>
          </cell>
          <cell r="E550">
            <v>22500</v>
          </cell>
          <cell r="F550">
            <v>6.8181818181818183</v>
          </cell>
          <cell r="G550">
            <v>0</v>
          </cell>
        </row>
        <row r="551">
          <cell r="C551" t="str">
            <v>Fourniture de vanne ¼ de tour galvanisé 26/33</v>
          </cell>
          <cell r="D551" t="str">
            <v>U</v>
          </cell>
          <cell r="E551">
            <v>14850</v>
          </cell>
          <cell r="F551">
            <v>4.5</v>
          </cell>
          <cell r="G551">
            <v>0</v>
          </cell>
        </row>
        <row r="552">
          <cell r="C552" t="str">
            <v>Fourniture de vanne ¼ de tour galvanisé 20/27</v>
          </cell>
          <cell r="D552" t="str">
            <v>U</v>
          </cell>
          <cell r="E552">
            <v>9000</v>
          </cell>
          <cell r="F552">
            <v>2.7272727272727271</v>
          </cell>
          <cell r="G552">
            <v>0</v>
          </cell>
        </row>
        <row r="553">
          <cell r="C553" t="str">
            <v>Fourniture de vanne ¼ de tour galvanisé 15/21</v>
          </cell>
          <cell r="D553" t="str">
            <v>U</v>
          </cell>
          <cell r="E553">
            <v>7200</v>
          </cell>
          <cell r="F553">
            <v>2.1818181818181817</v>
          </cell>
          <cell r="G553">
            <v>0</v>
          </cell>
        </row>
        <row r="554">
          <cell r="C554" t="str">
            <v>Fourniture de crépine en inox ou équivalent 80/90</v>
          </cell>
          <cell r="D554" t="str">
            <v>U</v>
          </cell>
          <cell r="E554">
            <v>152625</v>
          </cell>
          <cell r="F554">
            <v>46.25</v>
          </cell>
          <cell r="G554">
            <v>0</v>
          </cell>
        </row>
        <row r="555">
          <cell r="C555" t="str">
            <v>Fourniture de crépine en inox ou équivalent 66/76</v>
          </cell>
          <cell r="D555" t="str">
            <v>U</v>
          </cell>
          <cell r="E555">
            <v>127187.25</v>
          </cell>
          <cell r="F555">
            <v>38.541590909090907</v>
          </cell>
          <cell r="G555">
            <v>0</v>
          </cell>
        </row>
        <row r="556">
          <cell r="C556" t="str">
            <v>Fourniture de crépine en inox ou équivalent 50/60</v>
          </cell>
          <cell r="D556" t="str">
            <v>U</v>
          </cell>
          <cell r="E556">
            <v>43875</v>
          </cell>
          <cell r="F556">
            <v>13.295454545454545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C557" t="str">
            <v>Fourniture de crépine en inox ou équivalent 40/49</v>
          </cell>
          <cell r="D557" t="str">
            <v>U</v>
          </cell>
          <cell r="E557">
            <v>23344.5</v>
          </cell>
          <cell r="F557">
            <v>7.0740909090909092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C558" t="str">
            <v>Fourniture de crépine en inox ou équivalent 33/42</v>
          </cell>
          <cell r="D558" t="str">
            <v>U</v>
          </cell>
          <cell r="E558">
            <v>17415</v>
          </cell>
          <cell r="F558">
            <v>5.2772727272727273</v>
          </cell>
          <cell r="G558">
            <v>0</v>
          </cell>
        </row>
        <row r="559">
          <cell r="C559" t="str">
            <v>Fourniture de crépine en inox ou équivalent 26/33</v>
          </cell>
          <cell r="D559" t="str">
            <v>U</v>
          </cell>
          <cell r="E559">
            <v>13554</v>
          </cell>
          <cell r="F559">
            <v>4.1072727272727274</v>
          </cell>
          <cell r="G559">
            <v>0</v>
          </cell>
        </row>
        <row r="560">
          <cell r="C560" t="str">
            <v>Fourniture de crépine en inox ou équivalent 20/27</v>
          </cell>
          <cell r="D560" t="str">
            <v>U</v>
          </cell>
          <cell r="E560">
            <v>6165</v>
          </cell>
          <cell r="F560">
            <v>1.8681818181818182</v>
          </cell>
          <cell r="G560">
            <v>0</v>
          </cell>
        </row>
        <row r="561">
          <cell r="C561" t="str">
            <v>Fourniture de robinet à flotteur galvanisé 80/90</v>
          </cell>
          <cell r="D561" t="str">
            <v>U</v>
          </cell>
          <cell r="E561">
            <v>204964.5</v>
          </cell>
          <cell r="F561">
            <v>62.110454545454544</v>
          </cell>
          <cell r="G561">
            <v>0</v>
          </cell>
        </row>
        <row r="562">
          <cell r="C562" t="str">
            <v>Fourniture de robinet à flotteur galvanisé 66/76</v>
          </cell>
          <cell r="D562" t="str">
            <v>U</v>
          </cell>
          <cell r="E562">
            <v>192482.25</v>
          </cell>
          <cell r="F562">
            <v>58.327954545454546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C563" t="str">
            <v>Fourniture de robinet à flotteur galvanisé  50/60</v>
          </cell>
          <cell r="D563" t="str">
            <v>U</v>
          </cell>
          <cell r="E563">
            <v>180000</v>
          </cell>
          <cell r="F563">
            <v>54.545454545454547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C564" t="str">
            <v>Fourniture de robinet à flotteur galvanisé  40/49</v>
          </cell>
          <cell r="D564" t="str">
            <v>U</v>
          </cell>
          <cell r="E564">
            <v>135000</v>
          </cell>
          <cell r="F564">
            <v>40.909090909090907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C565" t="str">
            <v>Fourniture de robinet à flotteur galvanisé 33/42</v>
          </cell>
          <cell r="D565" t="str">
            <v>U</v>
          </cell>
          <cell r="E565">
            <v>126000</v>
          </cell>
          <cell r="F565">
            <v>38.18181818181818</v>
          </cell>
          <cell r="G565">
            <v>0</v>
          </cell>
        </row>
        <row r="566">
          <cell r="C566" t="str">
            <v>Fourniture de robinet à flotteur galvanisé 26/33</v>
          </cell>
          <cell r="D566" t="str">
            <v>U</v>
          </cell>
          <cell r="E566">
            <v>90000</v>
          </cell>
          <cell r="F566">
            <v>27.272727272727273</v>
          </cell>
          <cell r="G566">
            <v>0</v>
          </cell>
        </row>
        <row r="567">
          <cell r="C567" t="str">
            <v>Fourniture de robinet à flotteur galvanisé  20/27</v>
          </cell>
          <cell r="D567" t="str">
            <v>U</v>
          </cell>
          <cell r="E567">
            <v>72000</v>
          </cell>
          <cell r="F567">
            <v>21.818181818181817</v>
          </cell>
          <cell r="G567">
            <v>0</v>
          </cell>
        </row>
        <row r="568">
          <cell r="C568" t="str">
            <v>Fourniture de robinet de puisage en laiton  20/27 de type à béquille</v>
          </cell>
          <cell r="D568" t="str">
            <v>U</v>
          </cell>
          <cell r="E568">
            <v>9000</v>
          </cell>
          <cell r="F568">
            <v>2.7272727272727271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C569" t="str">
            <v>Fourniture de robinet de puisage en laiton  15/21 de type à béquille</v>
          </cell>
          <cell r="D569" t="str">
            <v>U</v>
          </cell>
          <cell r="E569">
            <v>8100</v>
          </cell>
          <cell r="F569">
            <v>2.4545454545454546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C570" t="str">
            <v>Fourniture de d’une aération en tuyau  galvanisé 40/49</v>
          </cell>
          <cell r="D570" t="str">
            <v>U</v>
          </cell>
          <cell r="E570">
            <v>17149.5</v>
          </cell>
          <cell r="F570">
            <v>5.1968181818181822</v>
          </cell>
          <cell r="G570">
            <v>0</v>
          </cell>
        </row>
        <row r="571">
          <cell r="C571" t="str">
            <v>Fourniture de d’une aération en tuyau  galvanisé 33/42</v>
          </cell>
          <cell r="D571" t="str">
            <v>U</v>
          </cell>
          <cell r="E571">
            <v>11754</v>
          </cell>
          <cell r="F571">
            <v>3.561818181818182</v>
          </cell>
          <cell r="G571">
            <v>0</v>
          </cell>
        </row>
        <row r="572">
          <cell r="C572" t="str">
            <v>Fourniture de d’une aération en tuyau galvanisé 26/33</v>
          </cell>
          <cell r="D572" t="str">
            <v>U</v>
          </cell>
          <cell r="E572">
            <v>9825</v>
          </cell>
          <cell r="F572">
            <v>2.9772727272727271</v>
          </cell>
          <cell r="G572">
            <v>0</v>
          </cell>
        </row>
        <row r="573">
          <cell r="C573" t="str">
            <v>Mini-ventouse en tuyau galvanisé 33/42</v>
          </cell>
          <cell r="D573" t="str">
            <v>U</v>
          </cell>
          <cell r="E573">
            <v>59036.25</v>
          </cell>
          <cell r="F573">
            <v>17.889772727272728</v>
          </cell>
          <cell r="G573">
            <v>0</v>
          </cell>
        </row>
        <row r="574">
          <cell r="C574" t="str">
            <v>Fourniture et pose système de fermeture pour regard de vanne</v>
          </cell>
          <cell r="D574" t="str">
            <v>U</v>
          </cell>
          <cell r="E574">
            <v>750</v>
          </cell>
          <cell r="F574">
            <v>0.22727272727272727</v>
          </cell>
          <cell r="G574">
            <v>0</v>
          </cell>
        </row>
        <row r="575">
          <cell r="C575" t="str">
            <v>Fourniture et pose vanne de type BS D50</v>
          </cell>
          <cell r="D575" t="str">
            <v>U</v>
          </cell>
          <cell r="E575">
            <v>750</v>
          </cell>
          <cell r="F575">
            <v>0.22727272727272727</v>
          </cell>
          <cell r="G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</row>
        <row r="577">
          <cell r="C577" t="str">
            <v>Fourniture de l'équipement de tête de forage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</row>
        <row r="578">
          <cell r="C578" t="str">
            <v>Fourniture de Clapet anti-retour galvanisé 80/90</v>
          </cell>
          <cell r="D578" t="str">
            <v>U</v>
          </cell>
          <cell r="E578">
            <v>165000</v>
          </cell>
          <cell r="F578">
            <v>50</v>
          </cell>
          <cell r="G578">
            <v>0</v>
          </cell>
        </row>
        <row r="579">
          <cell r="C579" t="str">
            <v>Fourniture  de Clapet anti-retour   galvanisé 66/76</v>
          </cell>
          <cell r="D579" t="str">
            <v>U</v>
          </cell>
          <cell r="E579">
            <v>113850</v>
          </cell>
          <cell r="F579">
            <v>34.5</v>
          </cell>
          <cell r="G579">
            <v>0</v>
          </cell>
        </row>
        <row r="580">
          <cell r="C580" t="str">
            <v>Fourniture  de Clapet anti-retour  galvanisé 50/60</v>
          </cell>
          <cell r="D580" t="str">
            <v>U</v>
          </cell>
          <cell r="E580">
            <v>83820</v>
          </cell>
          <cell r="F580">
            <v>25.4</v>
          </cell>
          <cell r="G580">
            <v>0</v>
          </cell>
        </row>
        <row r="581">
          <cell r="C581" t="str">
            <v>Fourniture  de Clapet anti-retour  galvanisé 40/49</v>
          </cell>
          <cell r="D581" t="str">
            <v>U</v>
          </cell>
          <cell r="E581">
            <v>61050</v>
          </cell>
          <cell r="F581">
            <v>18.5</v>
          </cell>
          <cell r="G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</row>
        <row r="583">
          <cell r="C583" t="str">
            <v>Fourniture de Ventouse simple ou Purgeur DN100</v>
          </cell>
          <cell r="D583" t="str">
            <v>U</v>
          </cell>
          <cell r="E583">
            <v>504900</v>
          </cell>
          <cell r="F583">
            <v>153</v>
          </cell>
          <cell r="G583">
            <v>0</v>
          </cell>
        </row>
        <row r="584">
          <cell r="C584" t="str">
            <v>Fourniture Ventouse simple ou Purgeur DN60</v>
          </cell>
          <cell r="D584" t="str">
            <v>U</v>
          </cell>
          <cell r="E584">
            <v>478500</v>
          </cell>
          <cell r="F584">
            <v>145</v>
          </cell>
          <cell r="G584">
            <v>0</v>
          </cell>
        </row>
        <row r="585">
          <cell r="C585" t="str">
            <v>Fourniture Ventouse simple ou Purgeur DN40</v>
          </cell>
          <cell r="D585" t="str">
            <v>U</v>
          </cell>
          <cell r="E585">
            <v>478500</v>
          </cell>
          <cell r="F585">
            <v>145</v>
          </cell>
          <cell r="G585">
            <v>0</v>
          </cell>
        </row>
        <row r="586">
          <cell r="C586" t="str">
            <v>Fourniture de Ventouse simple ou Purgeur DN32</v>
          </cell>
          <cell r="D586" t="str">
            <v>U</v>
          </cell>
          <cell r="E586">
            <v>478500</v>
          </cell>
          <cell r="F586">
            <v>145</v>
          </cell>
          <cell r="G586">
            <v>0</v>
          </cell>
        </row>
        <row r="587">
          <cell r="C587" t="str">
            <v>Fourniture Ventouse simple ou Purgeur DN50</v>
          </cell>
          <cell r="D587" t="str">
            <v>U</v>
          </cell>
          <cell r="E587">
            <v>478500</v>
          </cell>
          <cell r="F587">
            <v>145</v>
          </cell>
          <cell r="G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</row>
        <row r="589">
          <cell r="C589" t="str">
            <v>Fourniture de Compteur volumetrique DN 100</v>
          </cell>
          <cell r="D589" t="str">
            <v>U</v>
          </cell>
          <cell r="E589">
            <v>0</v>
          </cell>
          <cell r="F589">
            <v>0</v>
          </cell>
          <cell r="G589">
            <v>0</v>
          </cell>
        </row>
        <row r="590">
          <cell r="C590" t="str">
            <v xml:space="preserve">Fourniture de Compteur volumetrique DN 90 </v>
          </cell>
          <cell r="D590" t="str">
            <v>U</v>
          </cell>
          <cell r="E590">
            <v>0</v>
          </cell>
          <cell r="F590">
            <v>0</v>
          </cell>
          <cell r="G590">
            <v>0</v>
          </cell>
        </row>
        <row r="591">
          <cell r="C591" t="str">
            <v>Fourniture de Compteur volumetrique DN 75</v>
          </cell>
          <cell r="D591" t="str">
            <v>U</v>
          </cell>
          <cell r="E591">
            <v>0</v>
          </cell>
          <cell r="F591">
            <v>0</v>
          </cell>
          <cell r="G591">
            <v>0</v>
          </cell>
        </row>
        <row r="592">
          <cell r="C592" t="str">
            <v>Fourniture de Compteur volumetrique DN 60</v>
          </cell>
          <cell r="D592" t="str">
            <v>U</v>
          </cell>
          <cell r="E592">
            <v>574200</v>
          </cell>
          <cell r="F592">
            <v>174</v>
          </cell>
          <cell r="G592">
            <v>0</v>
          </cell>
        </row>
        <row r="593">
          <cell r="C593" t="str">
            <v>Fourniture de Compteur volumetrique DN 50</v>
          </cell>
          <cell r="D593" t="str">
            <v>U</v>
          </cell>
          <cell r="E593">
            <v>0</v>
          </cell>
          <cell r="F593">
            <v>0</v>
          </cell>
          <cell r="G593">
            <v>0</v>
          </cell>
        </row>
        <row r="594">
          <cell r="C594" t="str">
            <v xml:space="preserve">Fourniture de Compteur volumetrique DN 40 </v>
          </cell>
          <cell r="D594" t="str">
            <v>U</v>
          </cell>
          <cell r="E594">
            <v>478500</v>
          </cell>
          <cell r="F594">
            <v>145</v>
          </cell>
          <cell r="G594">
            <v>0</v>
          </cell>
        </row>
        <row r="595">
          <cell r="C595" t="str">
            <v xml:space="preserve">Fourniture de Compteur volumetrique DN 32 </v>
          </cell>
          <cell r="D595" t="str">
            <v>U</v>
          </cell>
          <cell r="E595">
            <v>0</v>
          </cell>
          <cell r="F595">
            <v>0</v>
          </cell>
          <cell r="G595">
            <v>0</v>
          </cell>
        </row>
        <row r="596">
          <cell r="C596" t="str">
            <v xml:space="preserve">Fourniture de Compteur volumetrique DN 25 </v>
          </cell>
          <cell r="D596" t="str">
            <v>U</v>
          </cell>
          <cell r="E596">
            <v>0</v>
          </cell>
          <cell r="F596">
            <v>0</v>
          </cell>
          <cell r="G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C598" t="str">
            <v>Fourniture et pose de l'équipement et appareillage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C599" t="str">
            <v>Fourniture et pose de Clapet anti-retour galvanisé 80/90</v>
          </cell>
          <cell r="D599" t="str">
            <v>U</v>
          </cell>
          <cell r="E599">
            <v>198000</v>
          </cell>
          <cell r="F599">
            <v>60</v>
          </cell>
          <cell r="G599">
            <v>0</v>
          </cell>
        </row>
        <row r="600">
          <cell r="C600" t="str">
            <v>Fourniture et pose   de Clapet anti-retour   galvanisé 66/76</v>
          </cell>
          <cell r="D600" t="str">
            <v>U</v>
          </cell>
          <cell r="E600">
            <v>136620</v>
          </cell>
          <cell r="F600">
            <v>41.4</v>
          </cell>
          <cell r="G600">
            <v>0</v>
          </cell>
        </row>
        <row r="601">
          <cell r="C601" t="str">
            <v>Fourniture et pose   de Clapet anti-retour  galvanisé 50/60</v>
          </cell>
          <cell r="D601" t="str">
            <v>U</v>
          </cell>
          <cell r="E601">
            <v>100583.99999999999</v>
          </cell>
          <cell r="F601">
            <v>30.479999999999997</v>
          </cell>
          <cell r="G601">
            <v>0</v>
          </cell>
        </row>
        <row r="602">
          <cell r="C602" t="str">
            <v>Fourniture et pose   de Clapet anti-retour  galvanisé 40/49</v>
          </cell>
          <cell r="D602" t="str">
            <v>U</v>
          </cell>
          <cell r="E602">
            <v>73260</v>
          </cell>
          <cell r="F602">
            <v>22.2</v>
          </cell>
          <cell r="G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C604" t="str">
            <v>Fourniture et pose de Ventouse simple ou Purgeur DN100</v>
          </cell>
          <cell r="D604" t="str">
            <v>U</v>
          </cell>
          <cell r="E604">
            <v>605880</v>
          </cell>
          <cell r="F604">
            <v>183.6</v>
          </cell>
          <cell r="G604">
            <v>0</v>
          </cell>
        </row>
        <row r="605">
          <cell r="C605" t="str">
            <v>Fourniture et pose  Ventouse simple ou Purgeur DN60</v>
          </cell>
          <cell r="D605" t="str">
            <v>U</v>
          </cell>
          <cell r="E605">
            <v>574200</v>
          </cell>
          <cell r="F605">
            <v>174</v>
          </cell>
          <cell r="G605">
            <v>0</v>
          </cell>
        </row>
        <row r="606">
          <cell r="C606" t="str">
            <v>Fourniture et pose  Ventouse simple ou Purgeur DN40</v>
          </cell>
          <cell r="D606" t="str">
            <v>U</v>
          </cell>
          <cell r="E606">
            <v>574200</v>
          </cell>
          <cell r="F606">
            <v>174</v>
          </cell>
          <cell r="G606">
            <v>0</v>
          </cell>
        </row>
        <row r="607">
          <cell r="C607" t="str">
            <v>Fourniture et pose  Ventouse simple ou Purgeur DN32</v>
          </cell>
          <cell r="D607" t="str">
            <v>U</v>
          </cell>
          <cell r="E607">
            <v>574200</v>
          </cell>
          <cell r="F607">
            <v>174</v>
          </cell>
          <cell r="G607">
            <v>0</v>
          </cell>
        </row>
        <row r="608">
          <cell r="C608" t="str">
            <v>Fourniture et pose Ventouse simple ou Purgeur DN50</v>
          </cell>
          <cell r="D608" t="str">
            <v>U</v>
          </cell>
          <cell r="E608">
            <v>574200</v>
          </cell>
          <cell r="F608">
            <v>174</v>
          </cell>
          <cell r="G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C610" t="str">
            <v>Fourniture et pose  de Compteur volumetrique DN 100</v>
          </cell>
          <cell r="D610" t="str">
            <v>U</v>
          </cell>
          <cell r="E610">
            <v>0</v>
          </cell>
          <cell r="F610">
            <v>0</v>
          </cell>
          <cell r="G610">
            <v>0</v>
          </cell>
        </row>
        <row r="611">
          <cell r="C611" t="str">
            <v xml:space="preserve">Fourniture et Fourniture et pose de Compteur volumetrique DN 80 </v>
          </cell>
          <cell r="D611" t="str">
            <v>U</v>
          </cell>
          <cell r="E611">
            <v>1568387.5</v>
          </cell>
          <cell r="F611">
            <v>0</v>
          </cell>
          <cell r="G611">
            <v>0</v>
          </cell>
        </row>
        <row r="612">
          <cell r="C612" t="str">
            <v>Fourniture et pose  de Compteur volumetrique DN 75</v>
          </cell>
          <cell r="D612" t="str">
            <v>U</v>
          </cell>
          <cell r="E612">
            <v>0</v>
          </cell>
          <cell r="F612">
            <v>0</v>
          </cell>
          <cell r="G612">
            <v>0</v>
          </cell>
        </row>
        <row r="613">
          <cell r="C613" t="str">
            <v>Fourniture et pose  de Compteur volumetrique DN 60</v>
          </cell>
          <cell r="D613" t="str">
            <v>U</v>
          </cell>
          <cell r="E613">
            <v>689040</v>
          </cell>
          <cell r="F613">
            <v>208.79999999999998</v>
          </cell>
          <cell r="G613">
            <v>0</v>
          </cell>
        </row>
        <row r="614">
          <cell r="C614" t="str">
            <v>Fourniture et pose  de Compteur volumetrique DN 50</v>
          </cell>
          <cell r="D614" t="str">
            <v>U</v>
          </cell>
          <cell r="E614">
            <v>0</v>
          </cell>
          <cell r="F614">
            <v>0</v>
          </cell>
          <cell r="G614">
            <v>0</v>
          </cell>
        </row>
        <row r="615">
          <cell r="C615" t="str">
            <v xml:space="preserve">Fourniture et pose de Compteur volumetrique DN 40 </v>
          </cell>
          <cell r="D615" t="str">
            <v>U</v>
          </cell>
          <cell r="E615">
            <v>574200</v>
          </cell>
          <cell r="F615">
            <v>174</v>
          </cell>
          <cell r="G615">
            <v>0</v>
          </cell>
        </row>
        <row r="616">
          <cell r="C616" t="str">
            <v>Fourniture de vanne en laiton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C617" t="str">
            <v>Fourniture de vanne en laiton 50/60</v>
          </cell>
          <cell r="D617" t="str">
            <v>U</v>
          </cell>
          <cell r="E617">
            <v>45276.3</v>
          </cell>
          <cell r="F617">
            <v>13.72009090909091</v>
          </cell>
          <cell r="G617">
            <v>0</v>
          </cell>
        </row>
        <row r="618">
          <cell r="C618" t="str">
            <v>Fourniture de vanne en laiton 40/49</v>
          </cell>
          <cell r="D618" t="str">
            <v>U</v>
          </cell>
          <cell r="E618">
            <v>31500</v>
          </cell>
          <cell r="F618">
            <v>9.545454545454545</v>
          </cell>
          <cell r="G618">
            <v>0</v>
          </cell>
        </row>
        <row r="619">
          <cell r="C619" t="str">
            <v>Fourniture de vanne en laiton 33/42</v>
          </cell>
          <cell r="D619" t="str">
            <v>U</v>
          </cell>
          <cell r="E619">
            <v>22500</v>
          </cell>
          <cell r="F619">
            <v>6.8181818181818183</v>
          </cell>
          <cell r="G619">
            <v>0</v>
          </cell>
        </row>
        <row r="620">
          <cell r="C620" t="str">
            <v>Fourniture de vanne en laiton 26/33</v>
          </cell>
          <cell r="D620" t="str">
            <v>U</v>
          </cell>
          <cell r="E620">
            <v>14850</v>
          </cell>
          <cell r="F620">
            <v>4.5</v>
          </cell>
          <cell r="G620">
            <v>0</v>
          </cell>
        </row>
        <row r="621">
          <cell r="C621" t="str">
            <v>Fourniture de vanne en laiton 20/27</v>
          </cell>
          <cell r="D621" t="str">
            <v>U</v>
          </cell>
          <cell r="E621">
            <v>8100</v>
          </cell>
          <cell r="F621">
            <v>2.4545454545454546</v>
          </cell>
          <cell r="G621">
            <v>0</v>
          </cell>
        </row>
        <row r="622">
          <cell r="C622" t="str">
            <v>Fourniture de vanne en laiton 15/21</v>
          </cell>
          <cell r="D622" t="str">
            <v>U</v>
          </cell>
          <cell r="E622">
            <v>7200</v>
          </cell>
          <cell r="F622">
            <v>2.1818181818181817</v>
          </cell>
          <cell r="G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C624" t="str">
            <v>Fourniture de vanne ¼ de tour galvanisé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C625" t="str">
            <v>Fourniture de vanne ¼ de tour galvanisé 100/114</v>
          </cell>
          <cell r="D625" t="str">
            <v>U</v>
          </cell>
          <cell r="E625">
            <v>31500</v>
          </cell>
          <cell r="F625">
            <v>9.545454545454545</v>
          </cell>
          <cell r="G625">
            <v>0</v>
          </cell>
        </row>
        <row r="626">
          <cell r="C626" t="str">
            <v>Fourniture de vanne ¼ de tour galvanisé 80/90</v>
          </cell>
          <cell r="D626" t="str">
            <v>U</v>
          </cell>
          <cell r="E626">
            <v>22500</v>
          </cell>
          <cell r="F626">
            <v>6.8181818181818183</v>
          </cell>
          <cell r="G626">
            <v>0</v>
          </cell>
        </row>
        <row r="627">
          <cell r="C627" t="str">
            <v>Fourniture de vanne ¼ de tour galvanisé. 66/76</v>
          </cell>
          <cell r="D627" t="str">
            <v>U</v>
          </cell>
          <cell r="E627">
            <v>14850</v>
          </cell>
          <cell r="F627">
            <v>4.5</v>
          </cell>
          <cell r="G627">
            <v>0</v>
          </cell>
        </row>
        <row r="628">
          <cell r="C628" t="str">
            <v>Fourniture de vanne ¼ de tour galvanisé 50/60</v>
          </cell>
          <cell r="D628" t="str">
            <v>U</v>
          </cell>
          <cell r="E628">
            <v>8100</v>
          </cell>
          <cell r="F628">
            <v>2.4545454545454546</v>
          </cell>
          <cell r="G628">
            <v>0</v>
          </cell>
        </row>
        <row r="629">
          <cell r="C629" t="str">
            <v>Fourniture de vanne ¼ de tour galvanisé 40/49</v>
          </cell>
          <cell r="D629" t="str">
            <v>U</v>
          </cell>
          <cell r="E629">
            <v>7200</v>
          </cell>
          <cell r="F629">
            <v>2.1818181818181817</v>
          </cell>
          <cell r="G629">
            <v>0</v>
          </cell>
        </row>
        <row r="630">
          <cell r="C630" t="str">
            <v>Fourniture de vanne ¼ de tour galvanisé 33/42</v>
          </cell>
          <cell r="D630" t="str">
            <v>U</v>
          </cell>
          <cell r="E630">
            <v>360000</v>
          </cell>
          <cell r="F630">
            <v>109.09090909090909</v>
          </cell>
          <cell r="G630">
            <v>0</v>
          </cell>
        </row>
        <row r="631">
          <cell r="C631" t="str">
            <v>Fourniture de vanne ¼ de tour galvanisé 26/33</v>
          </cell>
          <cell r="D631" t="str">
            <v>U</v>
          </cell>
          <cell r="E631">
            <v>123417.9</v>
          </cell>
          <cell r="F631">
            <v>37.399363636363631</v>
          </cell>
          <cell r="G631">
            <v>0</v>
          </cell>
        </row>
        <row r="632">
          <cell r="C632" t="str">
            <v>Fourniture de vanne ¼ de tour galvanisé 20/27</v>
          </cell>
          <cell r="D632" t="str">
            <v>U</v>
          </cell>
          <cell r="E632">
            <v>85843.8</v>
          </cell>
          <cell r="F632">
            <v>26.013272727272728</v>
          </cell>
          <cell r="G632">
            <v>0</v>
          </cell>
        </row>
        <row r="633">
          <cell r="C633" t="str">
            <v>Fourniture de vanne ¼ de tour galvanisé 15/21</v>
          </cell>
          <cell r="D633" t="str">
            <v>U</v>
          </cell>
          <cell r="E633">
            <v>45276.3</v>
          </cell>
          <cell r="F633">
            <v>13.72009090909091</v>
          </cell>
          <cell r="G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</row>
        <row r="635">
          <cell r="C635" t="str">
            <v>Fourniture de robinet flotteur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C636" t="str">
            <v>Fourniture de robinet à flotteur galvanisé 80/90</v>
          </cell>
          <cell r="D636" t="str">
            <v>U</v>
          </cell>
          <cell r="E636">
            <v>204964.5</v>
          </cell>
          <cell r="F636">
            <v>62.110454545454544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C637" t="str">
            <v>Fourniture de robinet à flotteur galvanisé 66/76</v>
          </cell>
          <cell r="D637" t="str">
            <v>U</v>
          </cell>
          <cell r="E637">
            <v>192482.25</v>
          </cell>
          <cell r="F637">
            <v>58.327954545454546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</row>
        <row r="638">
          <cell r="C638" t="str">
            <v>Fourniture de robinet à flotteur galvanisé  50/60</v>
          </cell>
          <cell r="D638" t="str">
            <v>U</v>
          </cell>
          <cell r="E638">
            <v>180000</v>
          </cell>
          <cell r="F638">
            <v>54.545454545454547</v>
          </cell>
          <cell r="G638">
            <v>0</v>
          </cell>
        </row>
        <row r="639">
          <cell r="C639" t="str">
            <v>Fourniture de robinet à flotteur galvanisé  40/49</v>
          </cell>
          <cell r="D639" t="str">
            <v>U</v>
          </cell>
          <cell r="E639">
            <v>135000</v>
          </cell>
          <cell r="F639">
            <v>40.909090909090907</v>
          </cell>
          <cell r="G639">
            <v>0</v>
          </cell>
        </row>
        <row r="640">
          <cell r="C640" t="str">
            <v>Fourniture de robinet à flotteur galvanisé 33/42</v>
          </cell>
          <cell r="D640" t="str">
            <v>U</v>
          </cell>
          <cell r="E640">
            <v>126000</v>
          </cell>
          <cell r="F640">
            <v>38.18181818181818</v>
          </cell>
          <cell r="G640">
            <v>0</v>
          </cell>
        </row>
        <row r="641">
          <cell r="C641" t="str">
            <v>Fourniture de robinet à flotteur galvanisé 26/33</v>
          </cell>
          <cell r="D641" t="str">
            <v>U</v>
          </cell>
          <cell r="E641">
            <v>90000</v>
          </cell>
          <cell r="F641">
            <v>27.272727272727273</v>
          </cell>
          <cell r="G641">
            <v>0</v>
          </cell>
        </row>
        <row r="642">
          <cell r="C642" t="str">
            <v>Fourniture de robinet à flotteur galvanisé  20/27</v>
          </cell>
          <cell r="D642" t="str">
            <v>U</v>
          </cell>
          <cell r="E642">
            <v>72000</v>
          </cell>
          <cell r="F642">
            <v>21.818181818181817</v>
          </cell>
          <cell r="G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</row>
        <row r="644">
          <cell r="C644" t="str">
            <v>Fourniture de robinet de puisage en laiton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C645" t="str">
            <v>Fourniture de robinet de puisage en laiton  20/27 de type à béquille</v>
          </cell>
          <cell r="D645" t="str">
            <v>U</v>
          </cell>
          <cell r="E645">
            <v>9000</v>
          </cell>
          <cell r="F645">
            <v>2.7272727272727271</v>
          </cell>
          <cell r="G645">
            <v>0</v>
          </cell>
        </row>
        <row r="646">
          <cell r="C646" t="str">
            <v>Fourniture de robinet de puisage en laiton  15/21 de type à béquille</v>
          </cell>
          <cell r="D646" t="str">
            <v>U</v>
          </cell>
          <cell r="E646">
            <v>8100</v>
          </cell>
          <cell r="F646">
            <v>2.4545454545454546</v>
          </cell>
          <cell r="G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C648" t="str">
            <v xml:space="preserve">Fourniture d'une Aeration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C649" t="str">
            <v>Fourniture de d’une aération en tuyau  galvanisé 40/49</v>
          </cell>
          <cell r="D649" t="str">
            <v>U</v>
          </cell>
          <cell r="E649">
            <v>17149.5</v>
          </cell>
          <cell r="F649">
            <v>5.1968181818181822</v>
          </cell>
          <cell r="G649">
            <v>0</v>
          </cell>
          <cell r="J649">
            <v>0</v>
          </cell>
        </row>
        <row r="650">
          <cell r="C650" t="str">
            <v>Fourniture de d’une aération en tuyau  galvanisé 33/42</v>
          </cell>
          <cell r="D650" t="str">
            <v>U</v>
          </cell>
          <cell r="E650">
            <v>11754</v>
          </cell>
          <cell r="F650">
            <v>3.561818181818182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</row>
        <row r="651">
          <cell r="C651" t="str">
            <v>Fourniture de d’une aération en tuyau galvanisé 26/33</v>
          </cell>
          <cell r="D651" t="str">
            <v>U</v>
          </cell>
          <cell r="E651">
            <v>9825</v>
          </cell>
          <cell r="F651">
            <v>2.9772727272727271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C653" t="str">
            <v>Compteur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C654" t="str">
            <v>Fourniture compteur calibre 20</v>
          </cell>
          <cell r="D654" t="str">
            <v>U</v>
          </cell>
          <cell r="E654">
            <v>82620</v>
          </cell>
          <cell r="F654">
            <v>25.036363636363635</v>
          </cell>
          <cell r="G654">
            <v>0</v>
          </cell>
          <cell r="H654">
            <v>0</v>
          </cell>
          <cell r="I654">
            <v>64397</v>
          </cell>
          <cell r="J654">
            <v>0</v>
          </cell>
          <cell r="K654">
            <v>64397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39801</v>
          </cell>
          <cell r="J655">
            <v>0</v>
          </cell>
          <cell r="K655">
            <v>39801</v>
          </cell>
        </row>
        <row r="656">
          <cell r="C656" t="str">
            <v>FOURNITURE ET POSE DES ACCESSOIRES GALVA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19341</v>
          </cell>
          <cell r="J656">
            <v>0</v>
          </cell>
          <cell r="K656">
            <v>19341</v>
          </cell>
        </row>
        <row r="657">
          <cell r="C657" t="str">
            <v>Fourniture et pose de coude 90° galvanisé 100/114</v>
          </cell>
          <cell r="D657" t="str">
            <v>U</v>
          </cell>
          <cell r="E657">
            <v>22500</v>
          </cell>
          <cell r="F657">
            <v>6.8181818181818183</v>
          </cell>
          <cell r="G657">
            <v>0</v>
          </cell>
          <cell r="H657">
            <v>0</v>
          </cell>
          <cell r="I657">
            <v>13863</v>
          </cell>
          <cell r="J657">
            <v>0</v>
          </cell>
          <cell r="K657">
            <v>13863</v>
          </cell>
        </row>
        <row r="658">
          <cell r="C658" t="str">
            <v>Fourniture et pose de coude 90° galvanisé 80/90</v>
          </cell>
          <cell r="D658" t="str">
            <v>U</v>
          </cell>
          <cell r="E658">
            <v>18900</v>
          </cell>
          <cell r="F658">
            <v>5.7272727272727275</v>
          </cell>
          <cell r="G658">
            <v>0</v>
          </cell>
          <cell r="H658">
            <v>0</v>
          </cell>
          <cell r="I658">
            <v>10062</v>
          </cell>
          <cell r="J658">
            <v>0</v>
          </cell>
          <cell r="K658">
            <v>10062</v>
          </cell>
        </row>
        <row r="659">
          <cell r="C659" t="str">
            <v>Fourniture et pose de coude 90° galvanisé 66/76</v>
          </cell>
          <cell r="D659" t="str">
            <v>U</v>
          </cell>
          <cell r="E659">
            <v>10750</v>
          </cell>
          <cell r="F659">
            <v>3.2575757575757578</v>
          </cell>
          <cell r="G659">
            <v>0</v>
          </cell>
          <cell r="H659">
            <v>0</v>
          </cell>
          <cell r="I659">
            <v>5951</v>
          </cell>
          <cell r="J659">
            <v>0</v>
          </cell>
          <cell r="K659">
            <v>5951</v>
          </cell>
        </row>
        <row r="660">
          <cell r="C660" t="str">
            <v>Fourniture et pose de coude 90° galvanisé 50/60</v>
          </cell>
          <cell r="D660" t="str">
            <v>U</v>
          </cell>
          <cell r="E660">
            <v>5734</v>
          </cell>
          <cell r="F660">
            <v>1.7375757575757576</v>
          </cell>
          <cell r="G660">
            <v>0</v>
          </cell>
          <cell r="H660">
            <v>0</v>
          </cell>
          <cell r="I660">
            <v>4677</v>
          </cell>
          <cell r="J660">
            <v>0</v>
          </cell>
          <cell r="K660">
            <v>4677</v>
          </cell>
        </row>
        <row r="661">
          <cell r="C661" t="str">
            <v>Fourniture et pose de coude 90°galvanisé 40/49</v>
          </cell>
          <cell r="D661" t="str">
            <v>U</v>
          </cell>
          <cell r="E661">
            <v>3784</v>
          </cell>
          <cell r="F661">
            <v>1.1466666666666667</v>
          </cell>
          <cell r="G661">
            <v>0</v>
          </cell>
        </row>
        <row r="662">
          <cell r="C662" t="str">
            <v>Fourniture et pose de coude 90° galvanisé 33/42</v>
          </cell>
          <cell r="D662" t="str">
            <v>U</v>
          </cell>
          <cell r="E662">
            <v>2862</v>
          </cell>
          <cell r="F662">
            <v>0.86727272727272731</v>
          </cell>
          <cell r="G662">
            <v>0</v>
          </cell>
        </row>
        <row r="663">
          <cell r="C663" t="str">
            <v>Fourniture et pose de coude 90° galvanisé 26/33</v>
          </cell>
          <cell r="D663" t="str">
            <v>U</v>
          </cell>
          <cell r="E663">
            <v>1948</v>
          </cell>
          <cell r="F663">
            <v>0.59030303030303033</v>
          </cell>
          <cell r="G663">
            <v>0</v>
          </cell>
        </row>
        <row r="664">
          <cell r="C664" t="str">
            <v>Fourniture et pose de coude 90° galvanisé 20/27</v>
          </cell>
          <cell r="D664" t="str">
            <v>U</v>
          </cell>
          <cell r="E664">
            <v>1404</v>
          </cell>
          <cell r="F664">
            <v>0.42545454545454547</v>
          </cell>
          <cell r="G664">
            <v>0</v>
          </cell>
        </row>
        <row r="665">
          <cell r="C665" t="str">
            <v>Fourniture et pose de coude 90° galvanisé 15/21</v>
          </cell>
          <cell r="D665" t="str">
            <v>U</v>
          </cell>
          <cell r="E665">
            <v>1080</v>
          </cell>
          <cell r="F665">
            <v>0.32727272727272727</v>
          </cell>
          <cell r="G665">
            <v>0</v>
          </cell>
        </row>
        <row r="666">
          <cell r="C666" t="str">
            <v>Fourniture et pose de Tés égaux galvanisé 66/76</v>
          </cell>
          <cell r="D666" t="str">
            <v>U</v>
          </cell>
          <cell r="E666">
            <v>14370</v>
          </cell>
          <cell r="F666">
            <v>4.3545454545454545</v>
          </cell>
          <cell r="G666">
            <v>0</v>
          </cell>
        </row>
        <row r="667">
          <cell r="C667" t="str">
            <v>Fourniture et pose de Tés égaux galvanisé 50/60</v>
          </cell>
          <cell r="D667" t="str">
            <v>U</v>
          </cell>
          <cell r="E667">
            <v>8372</v>
          </cell>
          <cell r="F667">
            <v>2.5369696969696971</v>
          </cell>
          <cell r="G667">
            <v>0</v>
          </cell>
        </row>
        <row r="668">
          <cell r="C668" t="str">
            <v>Fourniture et pose de Tés égaux galvanisé 40/49</v>
          </cell>
          <cell r="D668" t="str">
            <v>U</v>
          </cell>
          <cell r="E668">
            <v>7540</v>
          </cell>
          <cell r="F668">
            <v>2.2848484848484847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C669" t="str">
            <v>Fourniture et pose de Tés égaux galvanisé 33/42</v>
          </cell>
          <cell r="D669" t="str">
            <v>U</v>
          </cell>
          <cell r="E669">
            <v>4127</v>
          </cell>
          <cell r="F669">
            <v>1.2506060606060605</v>
          </cell>
          <cell r="G669">
            <v>0</v>
          </cell>
        </row>
        <row r="670">
          <cell r="C670" t="str">
            <v>Fourniture et pose de Tés égaux galvanisé 26/33</v>
          </cell>
          <cell r="D670" t="str">
            <v>U</v>
          </cell>
          <cell r="E670">
            <v>2064</v>
          </cell>
          <cell r="F670">
            <v>0.62545454545454549</v>
          </cell>
          <cell r="G670">
            <v>0</v>
          </cell>
        </row>
        <row r="671">
          <cell r="C671" t="str">
            <v>Fourniture et pose de Tés égaux galvanisé 20/27</v>
          </cell>
          <cell r="D671" t="str">
            <v>U</v>
          </cell>
          <cell r="E671">
            <v>1719</v>
          </cell>
          <cell r="F671">
            <v>0.52090909090909088</v>
          </cell>
          <cell r="G671">
            <v>0</v>
          </cell>
        </row>
        <row r="672">
          <cell r="C672" t="str">
            <v>Fourniture et pose de Tés égaux galvanisé 15/21</v>
          </cell>
          <cell r="D672" t="str">
            <v>U</v>
          </cell>
          <cell r="E672">
            <v>1414</v>
          </cell>
          <cell r="F672">
            <v>0.42848484848484847</v>
          </cell>
          <cell r="G672">
            <v>0</v>
          </cell>
        </row>
        <row r="673">
          <cell r="C673" t="str">
            <v xml:space="preserve">Fourniture et pose de Té réduit galvanisé 63/50/63 </v>
          </cell>
          <cell r="D673" t="str">
            <v>U</v>
          </cell>
          <cell r="E673">
            <v>6324</v>
          </cell>
          <cell r="F673">
            <v>1.9163636363636363</v>
          </cell>
          <cell r="G673">
            <v>0</v>
          </cell>
        </row>
        <row r="674">
          <cell r="C674" t="str">
            <v xml:space="preserve">Fourniture et pose de Té réduit galvanisé 63/40/63 </v>
          </cell>
          <cell r="D674" t="str">
            <v>U</v>
          </cell>
          <cell r="E674">
            <v>8371</v>
          </cell>
          <cell r="F674">
            <v>2.5366666666666666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C675" t="str">
            <v xml:space="preserve">Fourniture et pose de Té réduit galvanisé 50/32/50 </v>
          </cell>
          <cell r="D675" t="str">
            <v>U</v>
          </cell>
          <cell r="E675">
            <v>4448</v>
          </cell>
          <cell r="F675">
            <v>1.3478787878787879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C676" t="str">
            <v xml:space="preserve">Fourniture et pose de Té réduit galvanisé 32/25/32 </v>
          </cell>
          <cell r="D676" t="str">
            <v>U</v>
          </cell>
          <cell r="E676">
            <v>2342</v>
          </cell>
          <cell r="F676">
            <v>0.70969696969696972</v>
          </cell>
          <cell r="G676">
            <v>0</v>
          </cell>
        </row>
        <row r="677">
          <cell r="C677" t="str">
            <v xml:space="preserve">Fourniture et pose de Té réduit galvanisé 25/20/25 </v>
          </cell>
          <cell r="D677" t="str">
            <v>U</v>
          </cell>
          <cell r="E677">
            <v>1371</v>
          </cell>
          <cell r="F677">
            <v>0.41545454545454547</v>
          </cell>
          <cell r="G677">
            <v>0</v>
          </cell>
        </row>
        <row r="678">
          <cell r="C678" t="str">
            <v>Fourniture et pose de manchon  galvanisé 110/140</v>
          </cell>
          <cell r="D678" t="str">
            <v>U</v>
          </cell>
          <cell r="E678">
            <v>17204</v>
          </cell>
          <cell r="F678">
            <v>5.2133333333333329</v>
          </cell>
          <cell r="G678">
            <v>0</v>
          </cell>
        </row>
        <row r="679">
          <cell r="C679" t="str">
            <v>Fourniture et pose de manchon  galvanisé 80/90</v>
          </cell>
          <cell r="D679" t="str">
            <v>U</v>
          </cell>
          <cell r="E679">
            <v>14076</v>
          </cell>
          <cell r="F679">
            <v>4.2654545454545456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C680" t="str">
            <v>Fourniture et pose de manchon  galvanisé 66/76</v>
          </cell>
          <cell r="D680" t="str">
            <v>U</v>
          </cell>
          <cell r="E680">
            <v>10322</v>
          </cell>
          <cell r="F680">
            <v>3.1278787878787879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C681" t="str">
            <v>Fourniture et pose de manchon galvanisé 50/60</v>
          </cell>
          <cell r="D681" t="str">
            <v>U</v>
          </cell>
          <cell r="E681">
            <v>4870</v>
          </cell>
          <cell r="F681">
            <v>1.4757575757575758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C682" t="str">
            <v>Fourniture et pose de manchon galvanisé 40/49</v>
          </cell>
          <cell r="D682" t="str">
            <v>U</v>
          </cell>
          <cell r="E682">
            <v>3869</v>
          </cell>
          <cell r="F682">
            <v>1.1724242424242424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C683" t="str">
            <v>Fourniture et pose de manchon  galvanisé 33/42</v>
          </cell>
          <cell r="D683" t="str">
            <v>U</v>
          </cell>
          <cell r="E683">
            <v>3227</v>
          </cell>
          <cell r="F683">
            <v>0.9778787878787879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</row>
        <row r="684">
          <cell r="C684" t="str">
            <v>Fourniture et pose de manchon galvanisé 26/33</v>
          </cell>
          <cell r="D684" t="str">
            <v>U</v>
          </cell>
          <cell r="E684">
            <v>1701</v>
          </cell>
          <cell r="F684">
            <v>0.5154545454545455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</row>
        <row r="685">
          <cell r="C685" t="str">
            <v>Fourniture et pose de manchon galvanisé 20/27</v>
          </cell>
          <cell r="D685" t="str">
            <v>U</v>
          </cell>
          <cell r="E685">
            <v>885</v>
          </cell>
          <cell r="F685">
            <v>0.26818181818181819</v>
          </cell>
          <cell r="G685">
            <v>0</v>
          </cell>
        </row>
        <row r="686">
          <cell r="C686" t="str">
            <v>Fourniture et pose de manchon galvanisé 15/21</v>
          </cell>
          <cell r="D686" t="str">
            <v>U</v>
          </cell>
          <cell r="E686">
            <v>686</v>
          </cell>
          <cell r="F686">
            <v>0.20787878787878789</v>
          </cell>
          <cell r="G686">
            <v>0</v>
          </cell>
          <cell r="I686">
            <v>0</v>
          </cell>
        </row>
        <row r="687">
          <cell r="C687" t="str">
            <v>Fourniture et pose de mamelon   galvanisé 66/76</v>
          </cell>
          <cell r="D687" t="str">
            <v>U</v>
          </cell>
          <cell r="E687">
            <v>12900</v>
          </cell>
          <cell r="F687">
            <v>3.9090909090909092</v>
          </cell>
          <cell r="G687">
            <v>0</v>
          </cell>
        </row>
        <row r="688">
          <cell r="C688" t="str">
            <v>Fourniture et pose de mamelon  galvanisé 50/60</v>
          </cell>
          <cell r="D688" t="str">
            <v>U</v>
          </cell>
          <cell r="E688">
            <v>5832</v>
          </cell>
          <cell r="F688">
            <v>1.7672727272727273</v>
          </cell>
          <cell r="G688">
            <v>0</v>
          </cell>
        </row>
        <row r="689">
          <cell r="C689" t="str">
            <v>Fourniture et pose de mamelon galvanisé 40/49</v>
          </cell>
          <cell r="D689" t="str">
            <v>U</v>
          </cell>
          <cell r="E689">
            <v>3784</v>
          </cell>
          <cell r="F689">
            <v>1.1466666666666667</v>
          </cell>
          <cell r="G689">
            <v>0</v>
          </cell>
        </row>
        <row r="690">
          <cell r="C690" t="str">
            <v>Fourniture et pose de mamelon  galvanisé 33/42</v>
          </cell>
          <cell r="D690" t="str">
            <v>U</v>
          </cell>
          <cell r="E690">
            <v>2862</v>
          </cell>
          <cell r="F690">
            <v>0.86727272727272731</v>
          </cell>
          <cell r="G690">
            <v>0</v>
          </cell>
        </row>
        <row r="691">
          <cell r="C691" t="str">
            <v>Fourniture et pose de mamelon galvanisé 26/33</v>
          </cell>
          <cell r="D691" t="str">
            <v>U</v>
          </cell>
          <cell r="E691">
            <v>2243</v>
          </cell>
          <cell r="F691">
            <v>0.67969696969696969</v>
          </cell>
          <cell r="G691">
            <v>0</v>
          </cell>
        </row>
        <row r="692">
          <cell r="C692" t="str">
            <v>Fourniture et pose de mamelon galvanisé 20/27</v>
          </cell>
          <cell r="D692" t="str">
            <v>U</v>
          </cell>
          <cell r="E692">
            <v>1344</v>
          </cell>
          <cell r="F692">
            <v>0.40727272727272729</v>
          </cell>
          <cell r="G692">
            <v>0</v>
          </cell>
        </row>
        <row r="693">
          <cell r="C693" t="str">
            <v>Fourniture et pose de mamelon galvanisé 15/21</v>
          </cell>
          <cell r="D693" t="str">
            <v>U</v>
          </cell>
          <cell r="E693">
            <v>918</v>
          </cell>
          <cell r="F693">
            <v>0.2781818181818182</v>
          </cell>
          <cell r="G693">
            <v>0</v>
          </cell>
        </row>
        <row r="694">
          <cell r="C694" t="str">
            <v>Fourniture et pose de raccord union  galvanisé 80/90</v>
          </cell>
          <cell r="D694" t="str">
            <v>U</v>
          </cell>
          <cell r="E694">
            <v>45000</v>
          </cell>
          <cell r="F694">
            <v>13.636363636363637</v>
          </cell>
          <cell r="G694">
            <v>0</v>
          </cell>
        </row>
        <row r="695">
          <cell r="C695" t="str">
            <v>Fourniture et pose de raccord union  galvanisé 66/76</v>
          </cell>
          <cell r="D695" t="str">
            <v>U</v>
          </cell>
          <cell r="E695">
            <v>30281</v>
          </cell>
          <cell r="F695">
            <v>9.1760606060606058</v>
          </cell>
          <cell r="G695">
            <v>0</v>
          </cell>
        </row>
        <row r="696">
          <cell r="C696" t="str">
            <v>Fourniture et pose de raccord union  galvanisé 50/60</v>
          </cell>
          <cell r="D696" t="str">
            <v>U</v>
          </cell>
          <cell r="E696">
            <v>13065</v>
          </cell>
          <cell r="F696">
            <v>3.959090909090909</v>
          </cell>
          <cell r="G696">
            <v>0</v>
          </cell>
          <cell r="J696">
            <v>0</v>
          </cell>
        </row>
        <row r="697">
          <cell r="C697" t="str">
            <v>Fourniture et pose de raccord union  galvanisé 40/49</v>
          </cell>
          <cell r="D697" t="str">
            <v>U</v>
          </cell>
          <cell r="E697">
            <v>9234</v>
          </cell>
          <cell r="F697">
            <v>2.7981818181818183</v>
          </cell>
          <cell r="G697">
            <v>0</v>
          </cell>
          <cell r="H697">
            <v>0</v>
          </cell>
          <cell r="I697">
            <v>64397</v>
          </cell>
          <cell r="J697">
            <v>0</v>
          </cell>
          <cell r="K697">
            <v>64397</v>
          </cell>
        </row>
        <row r="698">
          <cell r="C698" t="str">
            <v>Fourniture et pose de raccord union  galvanisé 33/42</v>
          </cell>
          <cell r="D698" t="str">
            <v>U</v>
          </cell>
          <cell r="E698">
            <v>7244</v>
          </cell>
          <cell r="F698">
            <v>2.1951515151515153</v>
          </cell>
          <cell r="G698">
            <v>0</v>
          </cell>
          <cell r="H698">
            <v>0</v>
          </cell>
          <cell r="I698">
            <v>39801</v>
          </cell>
          <cell r="J698">
            <v>0</v>
          </cell>
          <cell r="K698">
            <v>39801</v>
          </cell>
        </row>
        <row r="699">
          <cell r="C699" t="str">
            <v>Fourniture et pose de raccord union  galvanisé 26/33</v>
          </cell>
          <cell r="D699" t="str">
            <v>U</v>
          </cell>
          <cell r="E699">
            <v>5108</v>
          </cell>
          <cell r="F699">
            <v>1.5478787878787879</v>
          </cell>
          <cell r="G699">
            <v>0</v>
          </cell>
          <cell r="H699">
            <v>0</v>
          </cell>
          <cell r="I699">
            <v>19341</v>
          </cell>
          <cell r="J699">
            <v>0</v>
          </cell>
          <cell r="K699">
            <v>19341</v>
          </cell>
        </row>
        <row r="700">
          <cell r="C700" t="str">
            <v>Fourniture et pose de raccord union  galvanisé 20/27</v>
          </cell>
          <cell r="D700" t="str">
            <v>U</v>
          </cell>
          <cell r="E700">
            <v>3510</v>
          </cell>
          <cell r="F700">
            <v>1.0636363636363637</v>
          </cell>
          <cell r="G700">
            <v>0</v>
          </cell>
          <cell r="H700">
            <v>0</v>
          </cell>
          <cell r="I700">
            <v>13863</v>
          </cell>
          <cell r="J700">
            <v>0</v>
          </cell>
          <cell r="K700">
            <v>13863</v>
          </cell>
        </row>
        <row r="701">
          <cell r="C701" t="str">
            <v>Fourniture et pose de raccord union  galvanisé 15/21</v>
          </cell>
          <cell r="D701" t="str">
            <v>U</v>
          </cell>
          <cell r="E701">
            <v>3229</v>
          </cell>
          <cell r="F701">
            <v>0.97848484848484851</v>
          </cell>
          <cell r="G701">
            <v>0</v>
          </cell>
          <cell r="H701">
            <v>0</v>
          </cell>
          <cell r="I701">
            <v>10062</v>
          </cell>
          <cell r="J701">
            <v>0</v>
          </cell>
          <cell r="K701">
            <v>10062</v>
          </cell>
        </row>
        <row r="702">
          <cell r="C702" t="str">
            <v>Fourniture et pose de réduction galvanisé  FF 63*50</v>
          </cell>
          <cell r="D702" t="str">
            <v>U</v>
          </cell>
          <cell r="E702">
            <v>6731</v>
          </cell>
          <cell r="F702">
            <v>2.0396969696969696</v>
          </cell>
          <cell r="G702">
            <v>0</v>
          </cell>
          <cell r="H702">
            <v>0</v>
          </cell>
          <cell r="I702">
            <v>5951</v>
          </cell>
          <cell r="J702">
            <v>0</v>
          </cell>
          <cell r="K702">
            <v>5951</v>
          </cell>
        </row>
        <row r="703">
          <cell r="C703" t="str">
            <v>Fourniture et pose de réduction galvanisé  FF 63*40</v>
          </cell>
          <cell r="D703" t="str">
            <v>U</v>
          </cell>
          <cell r="E703">
            <v>6731</v>
          </cell>
          <cell r="F703">
            <v>2.0396969696969696</v>
          </cell>
          <cell r="G703">
            <v>0</v>
          </cell>
          <cell r="H703">
            <v>0</v>
          </cell>
          <cell r="I703">
            <v>4677</v>
          </cell>
          <cell r="J703">
            <v>0</v>
          </cell>
          <cell r="K703">
            <v>4677</v>
          </cell>
        </row>
        <row r="704">
          <cell r="C704" t="str">
            <v>Fourniture et pose de réduction galvanisé  FF 63*32</v>
          </cell>
          <cell r="D704" t="str">
            <v>U</v>
          </cell>
          <cell r="E704">
            <v>5929</v>
          </cell>
          <cell r="F704">
            <v>1.7966666666666666</v>
          </cell>
          <cell r="G704">
            <v>0</v>
          </cell>
          <cell r="H704">
            <v>0</v>
          </cell>
          <cell r="I704">
            <v>4677</v>
          </cell>
          <cell r="J704">
            <v>0</v>
          </cell>
          <cell r="K704">
            <v>4677</v>
          </cell>
        </row>
        <row r="705">
          <cell r="C705" t="str">
            <v>Fourniture et pose de réduction galvanisé  FF 63*25</v>
          </cell>
          <cell r="D705" t="str">
            <v>U</v>
          </cell>
          <cell r="E705">
            <v>5929</v>
          </cell>
          <cell r="F705">
            <v>1.7966666666666666</v>
          </cell>
          <cell r="G705">
            <v>0</v>
          </cell>
          <cell r="H705">
            <v>0</v>
          </cell>
          <cell r="I705">
            <v>5951</v>
          </cell>
          <cell r="J705">
            <v>0</v>
          </cell>
          <cell r="K705">
            <v>5951</v>
          </cell>
        </row>
        <row r="706">
          <cell r="C706" t="str">
            <v>Fourniture et pose de réduction galvanisé  FF 63*20</v>
          </cell>
          <cell r="D706" t="str">
            <v>U</v>
          </cell>
          <cell r="E706">
            <v>5459</v>
          </cell>
          <cell r="F706">
            <v>1.6542424242424243</v>
          </cell>
          <cell r="G706">
            <v>0</v>
          </cell>
          <cell r="H706">
            <v>0</v>
          </cell>
          <cell r="I706">
            <v>4677</v>
          </cell>
          <cell r="J706">
            <v>0</v>
          </cell>
          <cell r="K706">
            <v>4677</v>
          </cell>
        </row>
        <row r="707">
          <cell r="C707" t="str">
            <v>Fourniture et pose de réduction galvanisé  FF 50*40</v>
          </cell>
          <cell r="D707" t="str">
            <v>U</v>
          </cell>
          <cell r="E707">
            <v>5459</v>
          </cell>
          <cell r="F707">
            <v>1.6542424242424243</v>
          </cell>
          <cell r="G707">
            <v>0</v>
          </cell>
          <cell r="H707">
            <v>0</v>
          </cell>
          <cell r="I707">
            <v>4677</v>
          </cell>
          <cell r="J707">
            <v>0</v>
          </cell>
          <cell r="K707">
            <v>4677</v>
          </cell>
        </row>
        <row r="708">
          <cell r="C708" t="str">
            <v>Fourniture et pose de réduction galvanisé  FF 50*32</v>
          </cell>
          <cell r="D708" t="str">
            <v>U</v>
          </cell>
          <cell r="E708">
            <v>5030</v>
          </cell>
          <cell r="F708">
            <v>1.5242424242424242</v>
          </cell>
          <cell r="G708">
            <v>0</v>
          </cell>
        </row>
        <row r="709">
          <cell r="C709" t="str">
            <v>Fourniture et pose de réduction galvanisé  FF 40*32</v>
          </cell>
          <cell r="D709" t="str">
            <v>U</v>
          </cell>
          <cell r="E709">
            <v>2188</v>
          </cell>
          <cell r="F709">
            <v>0.66303030303030308</v>
          </cell>
          <cell r="G709">
            <v>0</v>
          </cell>
        </row>
        <row r="710">
          <cell r="C710" t="str">
            <v>Fourniture et pose de réduction galvanisé  FF 40*25</v>
          </cell>
          <cell r="D710" t="str">
            <v>U</v>
          </cell>
          <cell r="E710">
            <v>2188</v>
          </cell>
          <cell r="F710">
            <v>0.66303030303030308</v>
          </cell>
          <cell r="G710">
            <v>0</v>
          </cell>
        </row>
        <row r="711">
          <cell r="C711" t="str">
            <v>Fourniture et pose de réduction galvanisé  FF 40*20</v>
          </cell>
          <cell r="D711" t="str">
            <v>U</v>
          </cell>
          <cell r="E711">
            <v>2188</v>
          </cell>
          <cell r="F711">
            <v>0.66303030303030308</v>
          </cell>
          <cell r="G711">
            <v>0</v>
          </cell>
        </row>
        <row r="712">
          <cell r="C712" t="str">
            <v>Fourniture et pose de réduction galvanisé  FF 32*25</v>
          </cell>
          <cell r="D712" t="str">
            <v>U</v>
          </cell>
          <cell r="E712">
            <v>1199</v>
          </cell>
          <cell r="F712">
            <v>0.36333333333333334</v>
          </cell>
          <cell r="G712">
            <v>0</v>
          </cell>
        </row>
        <row r="713">
          <cell r="C713" t="str">
            <v>Fourniture et pose de réduction galvanisé  FF 32*20</v>
          </cell>
          <cell r="D713" t="str">
            <v>U</v>
          </cell>
          <cell r="E713">
            <v>1247</v>
          </cell>
          <cell r="F713">
            <v>0.37787878787878787</v>
          </cell>
          <cell r="G713">
            <v>0</v>
          </cell>
        </row>
        <row r="714">
          <cell r="C714" t="str">
            <v>Fourniture et pose de réduction galvanisé  FF 25*20</v>
          </cell>
          <cell r="D714" t="str">
            <v>U</v>
          </cell>
          <cell r="E714">
            <v>1099</v>
          </cell>
          <cell r="F714">
            <v>0.33303030303030301</v>
          </cell>
          <cell r="G714">
            <v>0</v>
          </cell>
        </row>
        <row r="715">
          <cell r="C715" t="str">
            <v>Fourniture et pose de réduction galvanisé  MF 90*75</v>
          </cell>
          <cell r="D715" t="str">
            <v>U</v>
          </cell>
          <cell r="E715">
            <v>9494</v>
          </cell>
          <cell r="F715">
            <v>2.876969696969697</v>
          </cell>
          <cell r="G715">
            <v>0</v>
          </cell>
        </row>
        <row r="716">
          <cell r="C716" t="str">
            <v>Fourniture et pose de réductions galvanisé  MF 75*63</v>
          </cell>
          <cell r="D716" t="str">
            <v>U</v>
          </cell>
          <cell r="E716">
            <v>8122</v>
          </cell>
          <cell r="F716">
            <v>2.4612121212121214</v>
          </cell>
          <cell r="G716">
            <v>0</v>
          </cell>
        </row>
        <row r="717">
          <cell r="C717" t="str">
            <v>Fourniture et pose de réduction galvanisé  MF 63*50</v>
          </cell>
          <cell r="D717" t="str">
            <v>U</v>
          </cell>
          <cell r="E717">
            <v>5810</v>
          </cell>
          <cell r="F717">
            <v>1.7606060606060605</v>
          </cell>
          <cell r="G717">
            <v>0</v>
          </cell>
        </row>
        <row r="718">
          <cell r="C718" t="str">
            <v>Fourniture et pose de réduction galvanisé  MF 63*40</v>
          </cell>
          <cell r="D718" t="str">
            <v>U</v>
          </cell>
          <cell r="E718">
            <v>3875</v>
          </cell>
          <cell r="F718">
            <v>1.1742424242424243</v>
          </cell>
          <cell r="G718">
            <v>0</v>
          </cell>
        </row>
        <row r="719">
          <cell r="C719" t="str">
            <v>Fourniture et pose de réduction galvanisé  MF 63*32</v>
          </cell>
          <cell r="D719" t="str">
            <v>U</v>
          </cell>
          <cell r="E719">
            <v>3875</v>
          </cell>
          <cell r="F719">
            <v>1.1742424242424243</v>
          </cell>
          <cell r="G719">
            <v>0</v>
          </cell>
        </row>
        <row r="720">
          <cell r="C720" t="str">
            <v>Fourniture et pose de réduction galvanisé  MF 63*25</v>
          </cell>
          <cell r="D720" t="str">
            <v>U</v>
          </cell>
          <cell r="E720">
            <v>3875</v>
          </cell>
          <cell r="F720">
            <v>1.1742424242424243</v>
          </cell>
          <cell r="G720">
            <v>0</v>
          </cell>
        </row>
        <row r="721">
          <cell r="C721" t="str">
            <v>Fourniture et pose de réduction galvanisé  MF 63*20</v>
          </cell>
          <cell r="D721" t="str">
            <v>U</v>
          </cell>
          <cell r="E721">
            <v>3875</v>
          </cell>
          <cell r="F721">
            <v>1.1742424242424243</v>
          </cell>
          <cell r="G721">
            <v>0</v>
          </cell>
        </row>
        <row r="722">
          <cell r="C722" t="str">
            <v>Fourniture et pose de réduction galvanisé  MF 50*40</v>
          </cell>
          <cell r="D722" t="str">
            <v>U</v>
          </cell>
          <cell r="E722">
            <v>2809</v>
          </cell>
          <cell r="F722">
            <v>0.8512121212121212</v>
          </cell>
          <cell r="G722">
            <v>0</v>
          </cell>
        </row>
        <row r="723">
          <cell r="C723" t="str">
            <v>Fourniture et pose de réduction galvanisé  MF 50*32</v>
          </cell>
          <cell r="D723" t="str">
            <v>U</v>
          </cell>
          <cell r="E723">
            <v>2809</v>
          </cell>
          <cell r="F723">
            <v>0.8512121212121212</v>
          </cell>
          <cell r="G723">
            <v>0</v>
          </cell>
        </row>
        <row r="724">
          <cell r="C724" t="str">
            <v>Fourniture et pose de réduction galvanisé  MF 40*32</v>
          </cell>
          <cell r="D724" t="str">
            <v>U</v>
          </cell>
          <cell r="E724">
            <v>2136</v>
          </cell>
          <cell r="F724">
            <v>0.64727272727272722</v>
          </cell>
          <cell r="G724">
            <v>0</v>
          </cell>
        </row>
        <row r="725">
          <cell r="C725" t="str">
            <v>Fourniture et pose de réduction galvanisé  MF 40*25</v>
          </cell>
          <cell r="D725" t="str">
            <v>U</v>
          </cell>
          <cell r="E725">
            <v>2136</v>
          </cell>
          <cell r="F725">
            <v>0.64727272727272722</v>
          </cell>
          <cell r="G725">
            <v>0</v>
          </cell>
        </row>
        <row r="726">
          <cell r="C726" t="str">
            <v>Fourniture et pose de réduction galvanisé  MF 40*20</v>
          </cell>
          <cell r="D726" t="str">
            <v>U</v>
          </cell>
          <cell r="E726">
            <v>2136</v>
          </cell>
          <cell r="F726">
            <v>0.64727272727272722</v>
          </cell>
          <cell r="G726">
            <v>0</v>
          </cell>
        </row>
        <row r="727">
          <cell r="C727" t="str">
            <v>Fourniture et pose de réduction galvanisé  MF 32*25</v>
          </cell>
          <cell r="D727" t="str">
            <v>U</v>
          </cell>
          <cell r="E727">
            <v>1123</v>
          </cell>
          <cell r="F727">
            <v>0.34030303030303033</v>
          </cell>
          <cell r="G727">
            <v>0</v>
          </cell>
        </row>
        <row r="728">
          <cell r="C728" t="str">
            <v>Fourniture et pose de réduction galvanisé  MF 32*20</v>
          </cell>
          <cell r="D728" t="str">
            <v>U</v>
          </cell>
          <cell r="E728">
            <v>1123</v>
          </cell>
          <cell r="F728">
            <v>0.34030303030303033</v>
          </cell>
          <cell r="G728">
            <v>0</v>
          </cell>
        </row>
        <row r="729">
          <cell r="C729" t="str">
            <v>Fourniture et pose de réduction galvanisé  MF 25*20</v>
          </cell>
          <cell r="D729" t="str">
            <v>U</v>
          </cell>
          <cell r="E729">
            <v>1099</v>
          </cell>
          <cell r="F729">
            <v>0.33303030303030301</v>
          </cell>
          <cell r="G729">
            <v>0</v>
          </cell>
        </row>
        <row r="730">
          <cell r="C730" t="str">
            <v>Fourniture et pose de bouchon mâle  galvanisé 50/60</v>
          </cell>
          <cell r="D730" t="str">
            <v>U</v>
          </cell>
          <cell r="E730">
            <v>2886</v>
          </cell>
          <cell r="F730">
            <v>0.87454545454545451</v>
          </cell>
          <cell r="G730">
            <v>0</v>
          </cell>
        </row>
        <row r="731">
          <cell r="C731" t="str">
            <v>Fourniture et pose de bouchon mâle  galvanisé 40/49</v>
          </cell>
          <cell r="D731" t="str">
            <v>U</v>
          </cell>
          <cell r="E731">
            <v>3232</v>
          </cell>
          <cell r="F731">
            <v>0.97939393939393937</v>
          </cell>
          <cell r="G731">
            <v>0</v>
          </cell>
        </row>
        <row r="732">
          <cell r="C732" t="str">
            <v>Fourniture et pose de bouchon mâle  galvanisé 33/42</v>
          </cell>
          <cell r="D732" t="str">
            <v>U</v>
          </cell>
          <cell r="E732">
            <v>2106</v>
          </cell>
          <cell r="F732">
            <v>0.63818181818181818</v>
          </cell>
          <cell r="G732">
            <v>0</v>
          </cell>
        </row>
        <row r="733">
          <cell r="C733" t="str">
            <v>Fourniture et pose de bouchon mâle  galvanisé 26/33</v>
          </cell>
          <cell r="D733" t="str">
            <v>U</v>
          </cell>
          <cell r="E733">
            <v>1134</v>
          </cell>
          <cell r="F733">
            <v>0.34363636363636363</v>
          </cell>
          <cell r="G733">
            <v>0</v>
          </cell>
        </row>
        <row r="734">
          <cell r="C734" t="str">
            <v>Fourniture et pose de bouchon mâle  galvanisé 20/27</v>
          </cell>
          <cell r="D734" t="str">
            <v>U</v>
          </cell>
          <cell r="E734">
            <v>716</v>
          </cell>
          <cell r="F734">
            <v>0.21696969696969698</v>
          </cell>
          <cell r="G734">
            <v>0</v>
          </cell>
        </row>
        <row r="735">
          <cell r="C735" t="str">
            <v>Fourniture et pose de bouchon mâle  galvanisé 15/21</v>
          </cell>
          <cell r="D735" t="str">
            <v>U</v>
          </cell>
          <cell r="E735">
            <v>615</v>
          </cell>
          <cell r="F735">
            <v>0.18636363636363637</v>
          </cell>
          <cell r="G735">
            <v>0</v>
          </cell>
        </row>
        <row r="736">
          <cell r="C736" t="str">
            <v>Fourniture et pose de bouchon femelle  galvanisé 33/42</v>
          </cell>
          <cell r="D736" t="str">
            <v>U</v>
          </cell>
          <cell r="E736">
            <v>2106</v>
          </cell>
          <cell r="F736">
            <v>0.63818181818181818</v>
          </cell>
          <cell r="G736">
            <v>0</v>
          </cell>
          <cell r="H736">
            <v>0</v>
          </cell>
          <cell r="J736">
            <v>0</v>
          </cell>
        </row>
        <row r="737">
          <cell r="C737" t="str">
            <v>Fourniture et pose de bouchon femelle  galvanisé 26/33</v>
          </cell>
          <cell r="D737" t="str">
            <v>U</v>
          </cell>
          <cell r="E737">
            <v>1134</v>
          </cell>
          <cell r="F737">
            <v>0.34363636363636363</v>
          </cell>
          <cell r="G737">
            <v>0</v>
          </cell>
          <cell r="H737">
            <v>0</v>
          </cell>
          <cell r="J737">
            <v>0</v>
          </cell>
        </row>
        <row r="738">
          <cell r="C738" t="str">
            <v>Fourniture et pose de bouchon femelle  galvanisé 20/27</v>
          </cell>
          <cell r="D738" t="str">
            <v>U</v>
          </cell>
          <cell r="E738">
            <v>716</v>
          </cell>
          <cell r="F738">
            <v>0.21696969696969698</v>
          </cell>
          <cell r="G738">
            <v>0</v>
          </cell>
          <cell r="H738">
            <v>0</v>
          </cell>
          <cell r="J738">
            <v>0</v>
          </cell>
        </row>
        <row r="739">
          <cell r="C739" t="str">
            <v>Fourniture et pose de bouchon femelle  galvanisé 15/21</v>
          </cell>
          <cell r="D739" t="str">
            <v>U</v>
          </cell>
          <cell r="E739">
            <v>615</v>
          </cell>
          <cell r="F739">
            <v>0.18636363636363637</v>
          </cell>
          <cell r="G739">
            <v>0</v>
          </cell>
          <cell r="H739">
            <v>0</v>
          </cell>
          <cell r="J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J740">
            <v>0</v>
          </cell>
        </row>
        <row r="741">
          <cell r="C741" t="str">
            <v>Fourniture et pose de vanne en laiton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J741">
            <v>0</v>
          </cell>
        </row>
        <row r="742">
          <cell r="C742" t="str">
            <v>Fourniture et pose de vanne en laiton 50/60</v>
          </cell>
          <cell r="D742" t="str">
            <v>U</v>
          </cell>
          <cell r="E742">
            <v>54331</v>
          </cell>
          <cell r="F742">
            <v>16.463939393939395</v>
          </cell>
          <cell r="G742">
            <v>0</v>
          </cell>
          <cell r="H742">
            <v>0</v>
          </cell>
          <cell r="J742">
            <v>0</v>
          </cell>
        </row>
        <row r="743">
          <cell r="C743" t="str">
            <v>Fourniture et pose de vanne en laiton 40/49</v>
          </cell>
          <cell r="D743" t="str">
            <v>U</v>
          </cell>
          <cell r="E743">
            <v>37800</v>
          </cell>
          <cell r="F743">
            <v>11.454545454545455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C744" t="str">
            <v>Fourniture et pose de vanne en laiton 33/42</v>
          </cell>
          <cell r="D744" t="str">
            <v>U</v>
          </cell>
          <cell r="E744">
            <v>27000</v>
          </cell>
          <cell r="F744">
            <v>8.1818181818181817</v>
          </cell>
          <cell r="G744">
            <v>0</v>
          </cell>
          <cell r="H744">
            <v>0</v>
          </cell>
          <cell r="J744">
            <v>0</v>
          </cell>
        </row>
        <row r="745">
          <cell r="C745" t="str">
            <v>Fourniture et pose de vanne en laiton 26/33</v>
          </cell>
          <cell r="D745" t="str">
            <v>U</v>
          </cell>
          <cell r="E745">
            <v>17820</v>
          </cell>
          <cell r="F745">
            <v>5.4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C746" t="str">
            <v>Fourniture et pose de vanne en laiton 20/27</v>
          </cell>
          <cell r="D746" t="str">
            <v>U</v>
          </cell>
          <cell r="E746">
            <v>9720</v>
          </cell>
          <cell r="F746">
            <v>2.9454545454545453</v>
          </cell>
          <cell r="G746">
            <v>0</v>
          </cell>
          <cell r="H746">
            <v>0</v>
          </cell>
          <cell r="J746">
            <v>0</v>
          </cell>
        </row>
        <row r="747">
          <cell r="C747" t="str">
            <v>Fourniture et pose de vanne en laiton 15/21</v>
          </cell>
          <cell r="D747" t="str">
            <v>U</v>
          </cell>
          <cell r="E747">
            <v>8640</v>
          </cell>
          <cell r="F747">
            <v>2.6181818181818182</v>
          </cell>
          <cell r="G747">
            <v>0</v>
          </cell>
          <cell r="H747">
            <v>0</v>
          </cell>
          <cell r="J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J748">
            <v>0</v>
          </cell>
        </row>
        <row r="749">
          <cell r="C749" t="str">
            <v>Fourniture et pose de vanne ¼ de tour galvanisé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J749">
            <v>0</v>
          </cell>
        </row>
        <row r="750">
          <cell r="C750" t="str">
            <v>Fourniture et pose de vanne ¼ de tour galvanisé 100/114</v>
          </cell>
          <cell r="D750" t="str">
            <v>U</v>
          </cell>
          <cell r="E750">
            <v>432000</v>
          </cell>
          <cell r="F750">
            <v>130.90909090909091</v>
          </cell>
          <cell r="G750">
            <v>0</v>
          </cell>
          <cell r="H750">
            <v>0</v>
          </cell>
          <cell r="J750">
            <v>0</v>
          </cell>
        </row>
        <row r="751">
          <cell r="C751" t="str">
            <v>Fourniture et pose de vanne ¼ de tour galvanisé 80/90</v>
          </cell>
          <cell r="D751" t="str">
            <v>U</v>
          </cell>
          <cell r="E751">
            <v>148100</v>
          </cell>
          <cell r="F751">
            <v>44.878787878787875</v>
          </cell>
          <cell r="G751">
            <v>0</v>
          </cell>
          <cell r="H751">
            <v>0</v>
          </cell>
          <cell r="J751">
            <v>0</v>
          </cell>
        </row>
        <row r="752">
          <cell r="C752" t="str">
            <v>Fourniture et pose de vanne ¼ de tour galvanisé. 66/76</v>
          </cell>
          <cell r="D752" t="str">
            <v>U</v>
          </cell>
          <cell r="E752">
            <v>103012</v>
          </cell>
          <cell r="F752">
            <v>31.215757575757575</v>
          </cell>
          <cell r="G752">
            <v>0</v>
          </cell>
          <cell r="H752">
            <v>0</v>
          </cell>
          <cell r="J752">
            <v>0</v>
          </cell>
        </row>
        <row r="753">
          <cell r="C753" t="str">
            <v>Fourniture et pose de vanne ¼ de tour galvanisé 50/60</v>
          </cell>
          <cell r="D753" t="str">
            <v>U</v>
          </cell>
          <cell r="E753">
            <v>54332</v>
          </cell>
          <cell r="F753">
            <v>16.464242424242425</v>
          </cell>
          <cell r="G753">
            <v>0</v>
          </cell>
          <cell r="H753">
            <v>0</v>
          </cell>
          <cell r="J753">
            <v>0</v>
          </cell>
        </row>
        <row r="754">
          <cell r="C754" t="str">
            <v>Fourniture et pose de vanne ¼ de tour galvanisé 40/49</v>
          </cell>
          <cell r="D754" t="str">
            <v>U</v>
          </cell>
          <cell r="E754">
            <v>35424</v>
          </cell>
          <cell r="F754">
            <v>10.734545454545454</v>
          </cell>
          <cell r="G754">
            <v>0</v>
          </cell>
          <cell r="H754">
            <v>0</v>
          </cell>
          <cell r="J754">
            <v>0</v>
          </cell>
        </row>
        <row r="755">
          <cell r="C755" t="str">
            <v>Fourniture et pose de vanne ¼ de tour galvanisé 33/42</v>
          </cell>
          <cell r="D755" t="str">
            <v>U</v>
          </cell>
          <cell r="E755">
            <v>27000</v>
          </cell>
          <cell r="F755">
            <v>8.1818181818181817</v>
          </cell>
          <cell r="G755">
            <v>0</v>
          </cell>
          <cell r="H755">
            <v>0</v>
          </cell>
          <cell r="J755">
            <v>0</v>
          </cell>
        </row>
        <row r="756">
          <cell r="C756" t="str">
            <v>Fourniture et pose de vanne ¼ de tour galvanisé 26/33</v>
          </cell>
          <cell r="D756" t="str">
            <v>U</v>
          </cell>
          <cell r="E756">
            <v>17820</v>
          </cell>
          <cell r="F756">
            <v>5.4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C757" t="str">
            <v>Fourniture et pose de vanne ¼ de tour galvanisé 20/27</v>
          </cell>
          <cell r="D757" t="str">
            <v>U</v>
          </cell>
          <cell r="E757">
            <v>10800</v>
          </cell>
          <cell r="F757">
            <v>3.2727272727272729</v>
          </cell>
          <cell r="G757">
            <v>0</v>
          </cell>
          <cell r="H757">
            <v>0</v>
          </cell>
          <cell r="J757">
            <v>0</v>
          </cell>
        </row>
        <row r="758">
          <cell r="C758" t="str">
            <v>Fourniture et pose de vanne ¼ de tour galvanisé 15/21</v>
          </cell>
          <cell r="D758" t="str">
            <v>U</v>
          </cell>
          <cell r="E758">
            <v>8640</v>
          </cell>
          <cell r="F758">
            <v>2.6181818181818182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J759">
            <v>0</v>
          </cell>
        </row>
        <row r="760">
          <cell r="C760" t="str">
            <v>Fourniture et pose de robinet de puisage en laiton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25000</v>
          </cell>
          <cell r="J760">
            <v>0</v>
          </cell>
          <cell r="K760">
            <v>25000</v>
          </cell>
        </row>
        <row r="761">
          <cell r="C761" t="str">
            <v>Fourniture et pose de robinet de puisage en laiton  20/27 de type à béquille</v>
          </cell>
          <cell r="D761" t="str">
            <v>U</v>
          </cell>
          <cell r="E761">
            <v>10800</v>
          </cell>
          <cell r="F761">
            <v>3.2727272727272729</v>
          </cell>
          <cell r="G761">
            <v>0</v>
          </cell>
          <cell r="H761">
            <v>0</v>
          </cell>
          <cell r="J761">
            <v>0</v>
          </cell>
        </row>
        <row r="762">
          <cell r="C762" t="str">
            <v>Fourniture et pose de robinet de puisage en laiton  15/21 de type à béquille</v>
          </cell>
          <cell r="D762" t="str">
            <v>U</v>
          </cell>
          <cell r="E762">
            <v>9720</v>
          </cell>
          <cell r="F762">
            <v>2.9454545454545453</v>
          </cell>
          <cell r="G762">
            <v>0</v>
          </cell>
          <cell r="H762">
            <v>0</v>
          </cell>
          <cell r="J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J763">
            <v>0</v>
          </cell>
        </row>
        <row r="764">
          <cell r="C764" t="str">
            <v xml:space="preserve">Fourniture et pose d'une Aeration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J764">
            <v>0</v>
          </cell>
        </row>
        <row r="765">
          <cell r="C765" t="str">
            <v>Fourniture et pose de d’une aération en tuyau  galvanisé 66/76</v>
          </cell>
          <cell r="D765" t="str">
            <v>U</v>
          </cell>
          <cell r="E765">
            <v>20579</v>
          </cell>
          <cell r="F765">
            <v>6.2360606060606063</v>
          </cell>
          <cell r="G765">
            <v>0</v>
          </cell>
        </row>
        <row r="766">
          <cell r="C766" t="str">
            <v>Fourniture et pose de d’une aération en tuyau  galvanisé 50/60</v>
          </cell>
          <cell r="D766" t="str">
            <v>U</v>
          </cell>
          <cell r="E766">
            <v>14104</v>
          </cell>
          <cell r="F766">
            <v>4.2739393939393944</v>
          </cell>
          <cell r="G766">
            <v>0</v>
          </cell>
        </row>
        <row r="767">
          <cell r="C767" t="str">
            <v>Fourniture et pose de d’une aération en tuyau galvanisé 40/49</v>
          </cell>
          <cell r="D767" t="str">
            <v>U</v>
          </cell>
          <cell r="E767">
            <v>11790</v>
          </cell>
          <cell r="F767">
            <v>3.5727272727272728</v>
          </cell>
          <cell r="G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</row>
        <row r="769">
          <cell r="C769" t="str">
            <v>Accesoires divers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</row>
        <row r="770">
          <cell r="C770" t="str">
            <v>Fourniture et pose compteur calibre 27</v>
          </cell>
          <cell r="D770" t="str">
            <v>U</v>
          </cell>
          <cell r="E770">
            <v>99144</v>
          </cell>
          <cell r="F770">
            <v>30.043636363636363</v>
          </cell>
          <cell r="G770">
            <v>0</v>
          </cell>
        </row>
        <row r="771">
          <cell r="C771" t="str">
            <v>Fourniture et pose de crépine inox 66/76</v>
          </cell>
          <cell r="D771" t="str">
            <v>U</v>
          </cell>
          <cell r="E771">
            <v>78500</v>
          </cell>
          <cell r="F771">
            <v>0</v>
          </cell>
          <cell r="G771">
            <v>0</v>
          </cell>
        </row>
        <row r="772">
          <cell r="C772" t="str">
            <v>Fourniture et pose tube métallique diamètre 100</v>
          </cell>
          <cell r="D772" t="str">
            <v>ML</v>
          </cell>
          <cell r="E772">
            <v>7850</v>
          </cell>
          <cell r="F772">
            <v>2.3787878787878789</v>
          </cell>
          <cell r="G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</row>
        <row r="774">
          <cell r="C774" t="str">
            <v>Fourniture Collier de prise en charge fileté taraudé  sur canalisation PVC/PE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</row>
        <row r="775">
          <cell r="C775" t="str">
            <v>Fourniture de Collier de prise taraudé 90*1"</v>
          </cell>
          <cell r="D775" t="str">
            <v>U</v>
          </cell>
          <cell r="E775">
            <v>9780</v>
          </cell>
          <cell r="F775">
            <v>2.2999999999999998</v>
          </cell>
          <cell r="G775">
            <v>0</v>
          </cell>
        </row>
        <row r="776">
          <cell r="C776" t="str">
            <v>Fourniture de Collier de prise taraudé 75*1"</v>
          </cell>
          <cell r="D776" t="str">
            <v>U</v>
          </cell>
          <cell r="E776">
            <v>6177.6000000000013</v>
          </cell>
          <cell r="F776">
            <v>2.2999999999999998</v>
          </cell>
          <cell r="G776">
            <v>0</v>
          </cell>
        </row>
        <row r="777">
          <cell r="C777" t="str">
            <v>Fourniture de Collier de prise taraudé 75*3/4"</v>
          </cell>
          <cell r="D777" t="str">
            <v>U</v>
          </cell>
          <cell r="E777">
            <v>6177.6000000000013</v>
          </cell>
          <cell r="F777">
            <v>2.4499999999999997</v>
          </cell>
          <cell r="G777">
            <v>0</v>
          </cell>
        </row>
        <row r="778">
          <cell r="C778" t="str">
            <v>Fourniture de Collier de prise taraudé 63*1"</v>
          </cell>
          <cell r="D778" t="str">
            <v>U</v>
          </cell>
          <cell r="E778">
            <v>3987.36</v>
          </cell>
          <cell r="F778">
            <v>2.73</v>
          </cell>
          <cell r="G778">
            <v>0</v>
          </cell>
        </row>
        <row r="779">
          <cell r="C779" t="str">
            <v>Fourniture de Collier de prise taraudé 63*3/4"</v>
          </cell>
          <cell r="D779" t="str">
            <v>U</v>
          </cell>
          <cell r="E779">
            <v>3987.36</v>
          </cell>
          <cell r="F779">
            <v>3.6119999999999997</v>
          </cell>
          <cell r="G779">
            <v>0</v>
          </cell>
        </row>
        <row r="780">
          <cell r="C780" t="str">
            <v>Fourniture de Collier de prise taraudé 50*1"</v>
          </cell>
          <cell r="D780" t="str">
            <v>U</v>
          </cell>
          <cell r="E780">
            <v>2695.6800000000003</v>
          </cell>
          <cell r="F780">
            <v>5.46</v>
          </cell>
          <cell r="G780">
            <v>0</v>
          </cell>
        </row>
        <row r="781">
          <cell r="C781" t="str">
            <v>Fourniture de Collier de prise taraudé 50*3/4"</v>
          </cell>
          <cell r="D781" t="str">
            <v>U</v>
          </cell>
          <cell r="E781">
            <v>2695.6800000000003</v>
          </cell>
          <cell r="F781">
            <v>11.06</v>
          </cell>
          <cell r="G781">
            <v>0</v>
          </cell>
        </row>
        <row r="782">
          <cell r="C782" t="str">
            <v>Fourniture de Collier de prise taraudé 40*1"</v>
          </cell>
          <cell r="D782" t="str">
            <v>U</v>
          </cell>
          <cell r="E782">
            <v>2302.56</v>
          </cell>
          <cell r="F782">
            <v>19.46</v>
          </cell>
          <cell r="G782">
            <v>0</v>
          </cell>
        </row>
        <row r="783">
          <cell r="C783" t="str">
            <v>Fourniture de Collier de prise taraudé 40*3/4"</v>
          </cell>
          <cell r="D783" t="str">
            <v>U</v>
          </cell>
          <cell r="E783">
            <v>2302.56</v>
          </cell>
          <cell r="F783">
            <v>25.759999999999998</v>
          </cell>
          <cell r="G783">
            <v>0</v>
          </cell>
        </row>
        <row r="784">
          <cell r="C784" t="str">
            <v>Fourniture de Collier de prise taraudé 32*1"</v>
          </cell>
          <cell r="D784" t="str">
            <v>U</v>
          </cell>
          <cell r="E784">
            <v>2302.56</v>
          </cell>
          <cell r="F784">
            <v>32.9</v>
          </cell>
          <cell r="G784">
            <v>0</v>
          </cell>
        </row>
        <row r="785">
          <cell r="C785" t="str">
            <v>Fourniture de Collier de prise taraudé 32*3/4"</v>
          </cell>
          <cell r="D785" t="str">
            <v>U</v>
          </cell>
          <cell r="E785">
            <v>1853.28</v>
          </cell>
          <cell r="F785">
            <v>41.72</v>
          </cell>
          <cell r="G785">
            <v>0</v>
          </cell>
        </row>
        <row r="786">
          <cell r="C786" t="str">
            <v>Fourniture de Collier de prise taraudé 25*3/4"</v>
          </cell>
          <cell r="D786" t="str">
            <v>U</v>
          </cell>
          <cell r="E786">
            <v>1853.28</v>
          </cell>
          <cell r="F786">
            <v>48.44</v>
          </cell>
          <cell r="G786">
            <v>0</v>
          </cell>
        </row>
        <row r="787">
          <cell r="C787" t="str">
            <v>Fourniture et pose Collier de prise en charge fileté taraudé  sur canalisation PVC/PE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</row>
        <row r="788">
          <cell r="C788" t="str">
            <v>Fourniture et pose de Collier de prise taraudé 90*1"</v>
          </cell>
          <cell r="D788" t="str">
            <v>U</v>
          </cell>
          <cell r="E788">
            <v>11247</v>
          </cell>
          <cell r="F788">
            <v>2.2999999999999998</v>
          </cell>
          <cell r="G788">
            <v>0</v>
          </cell>
        </row>
        <row r="789">
          <cell r="C789" t="str">
            <v>Fourniture et pose de Collier de prise taraudé 75*1"</v>
          </cell>
          <cell r="D789" t="str">
            <v>U</v>
          </cell>
          <cell r="E789">
            <v>7104.2400000000007</v>
          </cell>
          <cell r="F789">
            <v>2.2999999999999998</v>
          </cell>
          <cell r="G789">
            <v>0</v>
          </cell>
        </row>
        <row r="790">
          <cell r="C790" t="str">
            <v>Fourniture et pose de Collier de prise taraudé 75*3/4"</v>
          </cell>
          <cell r="D790" t="str">
            <v>U</v>
          </cell>
          <cell r="E790">
            <v>7104.2400000000007</v>
          </cell>
          <cell r="F790">
            <v>2.4499999999999997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C791" t="str">
            <v>Fourniture et pose de Collier de prise taraudé 63*1"</v>
          </cell>
          <cell r="D791" t="str">
            <v>U</v>
          </cell>
          <cell r="E791">
            <v>4585.4639999999999</v>
          </cell>
          <cell r="F791">
            <v>2.73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C792" t="str">
            <v>Fourniture et pose de Collier de prise taraudé 63*3/4"</v>
          </cell>
          <cell r="D792" t="str">
            <v>U</v>
          </cell>
          <cell r="E792">
            <v>4585.4639999999999</v>
          </cell>
          <cell r="F792">
            <v>3.6119999999999997</v>
          </cell>
          <cell r="G792">
            <v>0</v>
          </cell>
        </row>
        <row r="793">
          <cell r="C793" t="str">
            <v>Fourniture et pose de Collier de prise taraudé 50*1"</v>
          </cell>
          <cell r="D793" t="str">
            <v>U</v>
          </cell>
          <cell r="E793">
            <v>3100.0320000000002</v>
          </cell>
          <cell r="F793">
            <v>5.46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</row>
        <row r="794">
          <cell r="C794" t="str">
            <v>Fourniture et pose de Collier de prise taraudé 50*3/4"</v>
          </cell>
          <cell r="D794" t="str">
            <v>U</v>
          </cell>
          <cell r="E794">
            <v>3100.0320000000002</v>
          </cell>
          <cell r="F794">
            <v>11.06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</row>
        <row r="795">
          <cell r="C795" t="str">
            <v>Fourniture et pose de Collier de prise taraudé 40*1"</v>
          </cell>
          <cell r="D795" t="str">
            <v>U</v>
          </cell>
          <cell r="E795">
            <v>2647.944</v>
          </cell>
          <cell r="F795">
            <v>19.46</v>
          </cell>
          <cell r="G795">
            <v>0</v>
          </cell>
        </row>
        <row r="796">
          <cell r="C796" t="str">
            <v>Fourniture et pose de Collier de prise taraudé 40*3/4"</v>
          </cell>
          <cell r="D796" t="str">
            <v>U</v>
          </cell>
          <cell r="E796">
            <v>2647.944</v>
          </cell>
          <cell r="F796">
            <v>25.759999999999998</v>
          </cell>
          <cell r="G796">
            <v>0</v>
          </cell>
        </row>
        <row r="797">
          <cell r="C797" t="str">
            <v>Fourniture et pose de Collier de prise taraudé 32*1"</v>
          </cell>
          <cell r="D797" t="str">
            <v>U</v>
          </cell>
          <cell r="E797">
            <v>2647.944</v>
          </cell>
          <cell r="F797">
            <v>32.9</v>
          </cell>
          <cell r="G797">
            <v>0</v>
          </cell>
        </row>
        <row r="798">
          <cell r="C798" t="str">
            <v>Fourniture et pose de Collier de prise taraudé 32*3/4"</v>
          </cell>
          <cell r="D798" t="str">
            <v>U</v>
          </cell>
          <cell r="E798">
            <v>2131.2719999999999</v>
          </cell>
          <cell r="F798">
            <v>41.72</v>
          </cell>
          <cell r="G798">
            <v>0</v>
          </cell>
        </row>
        <row r="799">
          <cell r="C799" t="str">
            <v>Fourniture et pose de Collier de prise taraudé 25*3/4"</v>
          </cell>
          <cell r="D799" t="str">
            <v>U</v>
          </cell>
          <cell r="E799">
            <v>2131.2719999999999</v>
          </cell>
          <cell r="F799">
            <v>48.44</v>
          </cell>
          <cell r="G799">
            <v>0</v>
          </cell>
        </row>
        <row r="800">
          <cell r="C800" t="str">
            <v>Fourniture et pose de bouchon mâle  galvanisé 26/33</v>
          </cell>
          <cell r="D800" t="str">
            <v>U</v>
          </cell>
          <cell r="E800">
            <v>0</v>
          </cell>
          <cell r="F800">
            <v>0</v>
          </cell>
          <cell r="G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25000</v>
          </cell>
          <cell r="J803">
            <v>0</v>
          </cell>
          <cell r="K803">
            <v>25000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25000</v>
          </cell>
          <cell r="J804">
            <v>0</v>
          </cell>
          <cell r="K804">
            <v>25000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25000</v>
          </cell>
          <cell r="J806">
            <v>0</v>
          </cell>
          <cell r="K806">
            <v>25000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25000</v>
          </cell>
          <cell r="J807">
            <v>0</v>
          </cell>
          <cell r="K807">
            <v>25000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J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J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J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J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J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J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J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J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J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J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J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J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J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J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J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J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J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J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J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J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J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J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J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J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J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J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J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J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J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J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J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J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J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J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J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J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J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J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J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J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</row>
        <row r="979"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</row>
        <row r="1014"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</row>
        <row r="1015"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</row>
        <row r="1016"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</row>
        <row r="1017"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</row>
        <row r="1018"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</row>
        <row r="1019"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</row>
        <row r="1020"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</row>
        <row r="1021"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</row>
        <row r="1022"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</row>
        <row r="1023"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</row>
        <row r="1024"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</row>
        <row r="1025"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</row>
        <row r="1026"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</row>
        <row r="1027"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</row>
        <row r="1028"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</row>
        <row r="1029"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</row>
        <row r="1030"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</row>
        <row r="1031"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</row>
        <row r="1032"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</row>
        <row r="1033"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</row>
        <row r="1034"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</row>
        <row r="1035"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</row>
        <row r="1036"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</row>
        <row r="1038"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</row>
        <row r="1039"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</row>
        <row r="1040"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</row>
        <row r="1044"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</row>
        <row r="1045"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</row>
        <row r="1046"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</row>
        <row r="1047"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</row>
        <row r="1048"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</row>
        <row r="1049"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</row>
        <row r="1050"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</row>
        <row r="1051"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</row>
        <row r="1052"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</row>
        <row r="1053"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</row>
        <row r="1054"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</row>
        <row r="1055"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</row>
        <row r="1056"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</row>
        <row r="1057"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</row>
        <row r="1058"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</row>
        <row r="1059"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</row>
        <row r="1060"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</row>
        <row r="1061"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</row>
        <row r="1062"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</row>
        <row r="1063"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</row>
        <row r="1064"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</row>
        <row r="1065"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</row>
        <row r="1066"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P"/>
      <sheetName val="PRIX MATERIAUX"/>
      <sheetName val="MATERIEL &amp; OUTILLAGE"/>
      <sheetName val="MAIN D'OEUVRES"/>
      <sheetName val="MATERIAUX - MAIN D'OEUVRE"/>
    </sheetNames>
    <sheetDataSet>
      <sheetData sheetId="0"/>
      <sheetData sheetId="1" refreshError="1">
        <row r="4">
          <cell r="C4">
            <v>1000</v>
          </cell>
        </row>
        <row r="14">
          <cell r="H14">
            <v>9000</v>
          </cell>
        </row>
        <row r="16">
          <cell r="H16">
            <v>41238</v>
          </cell>
        </row>
        <row r="18">
          <cell r="H18">
            <v>41238</v>
          </cell>
        </row>
        <row r="28">
          <cell r="H28">
            <v>286000</v>
          </cell>
        </row>
      </sheetData>
      <sheetData sheetId="2"/>
      <sheetData sheetId="3" refreshError="1">
        <row r="3">
          <cell r="K3">
            <v>2278.8899786534353</v>
          </cell>
        </row>
        <row r="4">
          <cell r="K4">
            <v>683.66699359603069</v>
          </cell>
        </row>
        <row r="5">
          <cell r="K5">
            <v>379.81499644223919</v>
          </cell>
        </row>
        <row r="6">
          <cell r="K6">
            <v>911.55599146137422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P"/>
      <sheetName val="PRIX MATERIAUX"/>
      <sheetName val="MATERIEL &amp; OUTILLAGE"/>
      <sheetName val="MAIN D'OEUVRES"/>
      <sheetName val="MATERIAUX - MAIN D'OEUVRE"/>
    </sheetNames>
    <sheetDataSet>
      <sheetData sheetId="0"/>
      <sheetData sheetId="1" refreshError="1">
        <row r="4">
          <cell r="C4">
            <v>1000</v>
          </cell>
        </row>
        <row r="14">
          <cell r="H14">
            <v>9000</v>
          </cell>
        </row>
        <row r="16">
          <cell r="H16">
            <v>41238</v>
          </cell>
        </row>
        <row r="18">
          <cell r="H18">
            <v>41238</v>
          </cell>
        </row>
        <row r="28">
          <cell r="H28">
            <v>286000</v>
          </cell>
        </row>
      </sheetData>
      <sheetData sheetId="2"/>
      <sheetData sheetId="3" refreshError="1">
        <row r="3">
          <cell r="K3">
            <v>2278.8899786534353</v>
          </cell>
        </row>
        <row r="4">
          <cell r="K4">
            <v>683.66699359603069</v>
          </cell>
        </row>
        <row r="5">
          <cell r="K5">
            <v>379.81499644223919</v>
          </cell>
        </row>
        <row r="6">
          <cell r="K6">
            <v>911.55599146137422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U2021"/>
      <sheetName val="BDE "/>
    </sheetNames>
    <sheetDataSet>
      <sheetData sheetId="0">
        <row r="2">
          <cell r="B2" t="str">
            <v>Nº de Prix</v>
          </cell>
          <cell r="C2" t="str">
            <v>DESIGNATION</v>
          </cell>
          <cell r="D2" t="str">
            <v>Unité</v>
          </cell>
          <cell r="E2" t="str">
            <v>Prix Unitaire en Ar</v>
          </cell>
          <cell r="F2" t="str">
            <v>Prix Unitaire en Euros</v>
          </cell>
        </row>
        <row r="4">
          <cell r="B4" t="str">
            <v>000</v>
          </cell>
          <cell r="C4" t="str">
            <v>SERIE 000 - INSTALLATIONS ET TRAVAUX GENERAUX</v>
          </cell>
        </row>
        <row r="6">
          <cell r="B6" t="str">
            <v>001</v>
          </cell>
          <cell r="C6" t="str">
            <v>Installation et replis de chantier</v>
          </cell>
        </row>
        <row r="7">
          <cell r="B7" t="str">
            <v>001-01</v>
          </cell>
          <cell r="C7" t="str">
            <v>Installation de chantier</v>
          </cell>
          <cell r="D7" t="str">
            <v>Fft</v>
          </cell>
          <cell r="E7">
            <v>5000000</v>
          </cell>
          <cell r="F7">
            <v>1306.5142857142857</v>
          </cell>
        </row>
        <row r="8">
          <cell r="B8" t="str">
            <v>001-02</v>
          </cell>
          <cell r="C8" t="str">
            <v>Etude géophysique</v>
          </cell>
          <cell r="D8" t="str">
            <v>Fft</v>
          </cell>
          <cell r="E8">
            <v>3000000</v>
          </cell>
          <cell r="F8">
            <v>857.14285714285711</v>
          </cell>
        </row>
        <row r="9">
          <cell r="B9" t="str">
            <v>001-03</v>
          </cell>
          <cell r="C9" t="str">
            <v>Installation de chantier ANDR_03</v>
          </cell>
          <cell r="D9" t="str">
            <v>Fft</v>
          </cell>
          <cell r="E9">
            <v>3000000</v>
          </cell>
          <cell r="F9">
            <v>857.14285714285711</v>
          </cell>
        </row>
        <row r="10">
          <cell r="B10" t="str">
            <v>001-01'</v>
          </cell>
          <cell r="C10" t="str">
            <v>Démolition d'ouvrage</v>
          </cell>
          <cell r="D10" t="str">
            <v>Fft</v>
          </cell>
          <cell r="E10">
            <v>200000</v>
          </cell>
          <cell r="F10">
            <v>57.142857142857146</v>
          </cell>
        </row>
        <row r="12">
          <cell r="B12" t="str">
            <v>002</v>
          </cell>
          <cell r="C12" t="str">
            <v xml:space="preserve"> Replis de chantier</v>
          </cell>
        </row>
        <row r="13">
          <cell r="B13" t="str">
            <v>002-01</v>
          </cell>
          <cell r="C13" t="str">
            <v>Replis du chantier</v>
          </cell>
          <cell r="D13" t="str">
            <v>Fft</v>
          </cell>
          <cell r="E13">
            <v>3750000</v>
          </cell>
          <cell r="F13">
            <v>814.28571428571433</v>
          </cell>
        </row>
        <row r="14">
          <cell r="B14" t="str">
            <v>003-08</v>
          </cell>
          <cell r="C14" t="str">
            <v>Acheminement tuyauteries, accessoires et équipement électromécaniques</v>
          </cell>
          <cell r="D14" t="str">
            <v>Fft</v>
          </cell>
          <cell r="E14">
            <v>7000000</v>
          </cell>
          <cell r="F14">
            <v>1000</v>
          </cell>
        </row>
        <row r="15">
          <cell r="B15" t="str">
            <v>004-04</v>
          </cell>
          <cell r="C15" t="str">
            <v>Contre-levée topographique du réseau</v>
          </cell>
          <cell r="D15" t="str">
            <v>Fft</v>
          </cell>
          <cell r="E15">
            <v>2550000</v>
          </cell>
          <cell r="F15">
            <v>728.57142857142856</v>
          </cell>
        </row>
        <row r="16">
          <cell r="B16" t="str">
            <v>002-02</v>
          </cell>
          <cell r="C16" t="str">
            <v>Analyse physico-chimique et bactériologique</v>
          </cell>
          <cell r="D16" t="str">
            <v>U</v>
          </cell>
          <cell r="E16">
            <v>1250000</v>
          </cell>
          <cell r="F16">
            <v>169.14285714285714</v>
          </cell>
        </row>
        <row r="18">
          <cell r="B18" t="str">
            <v>400</v>
          </cell>
          <cell r="C18" t="str">
            <v>SERIE 400 - CONSTRUCTION  ET/OU REHABILITATION DE FORAGE</v>
          </cell>
        </row>
        <row r="20">
          <cell r="B20" t="str">
            <v>401</v>
          </cell>
          <cell r="C20" t="str">
            <v>Construction de forage pour pompe submersible</v>
          </cell>
        </row>
        <row r="21">
          <cell r="B21" t="str">
            <v>401-1</v>
          </cell>
          <cell r="C21" t="str">
            <v>Préparation du site et mise en place de l’atelier prêt à forer, y compris avant-trou, repli</v>
          </cell>
          <cell r="D21" t="str">
            <v>Ens.</v>
          </cell>
          <cell r="E21">
            <v>650000</v>
          </cell>
          <cell r="F21">
            <v>185.71428571428572</v>
          </cell>
        </row>
        <row r="22">
          <cell r="B22" t="str">
            <v>401-1'</v>
          </cell>
          <cell r="C22" t="str">
            <v xml:space="preserve">Travaux de foration </v>
          </cell>
          <cell r="D22" t="str">
            <v>Ens.</v>
          </cell>
          <cell r="E22">
            <v>5000000</v>
          </cell>
          <cell r="F22">
            <v>1428.5714285714287</v>
          </cell>
        </row>
        <row r="24">
          <cell r="B24" t="str">
            <v>401-3</v>
          </cell>
          <cell r="C24" t="str">
            <v>Foration</v>
          </cell>
        </row>
        <row r="25">
          <cell r="B25" t="str">
            <v>401-31</v>
          </cell>
          <cell r="C25" t="str">
            <v>Forage au Rotary 10"- alluvions, altération</v>
          </cell>
          <cell r="D25" t="str">
            <v>ml</v>
          </cell>
          <cell r="E25">
            <v>280000</v>
          </cell>
          <cell r="F25">
            <v>80</v>
          </cell>
        </row>
        <row r="26">
          <cell r="B26" t="str">
            <v>401-32</v>
          </cell>
          <cell r="C26" t="str">
            <v>Forage MFT 8" - socle fissuré</v>
          </cell>
          <cell r="D26" t="str">
            <v>ml</v>
          </cell>
          <cell r="E26">
            <v>276000</v>
          </cell>
          <cell r="F26">
            <v>78.857142857142861</v>
          </cell>
        </row>
        <row r="28">
          <cell r="B28" t="str">
            <v>401-4</v>
          </cell>
          <cell r="C28" t="str">
            <v>Tubage</v>
          </cell>
        </row>
        <row r="29">
          <cell r="B29" t="str">
            <v>401-41</v>
          </cell>
          <cell r="C29" t="str">
            <v>Tube de travail 10"</v>
          </cell>
          <cell r="D29" t="str">
            <v>ml</v>
          </cell>
          <cell r="E29">
            <v>115000</v>
          </cell>
          <cell r="F29">
            <v>32.857142857142854</v>
          </cell>
        </row>
        <row r="30">
          <cell r="B30" t="str">
            <v>401-42</v>
          </cell>
          <cell r="C30" t="str">
            <v>Fourniture et pose de tubages aveugles</v>
          </cell>
          <cell r="D30" t="str">
            <v>ml</v>
          </cell>
          <cell r="E30">
            <v>125000</v>
          </cell>
          <cell r="F30">
            <v>35.714285714285715</v>
          </cell>
        </row>
        <row r="31">
          <cell r="B31" t="str">
            <v>401-43</v>
          </cell>
          <cell r="C31" t="str">
            <v>Fourniture et pose de tubages crépinés</v>
          </cell>
          <cell r="D31" t="str">
            <v>ml</v>
          </cell>
          <cell r="E31">
            <v>110000</v>
          </cell>
          <cell r="F31">
            <v>31.428571428571427</v>
          </cell>
        </row>
        <row r="32">
          <cell r="B32" t="str">
            <v>401-44</v>
          </cell>
          <cell r="C32" t="str">
            <v>Fourniture et pose de tube à sédiment</v>
          </cell>
          <cell r="D32" t="str">
            <v>ml</v>
          </cell>
          <cell r="E32">
            <v>125000</v>
          </cell>
          <cell r="F32">
            <v>35.714285714285715</v>
          </cell>
        </row>
        <row r="33">
          <cell r="B33" t="str">
            <v>401-45</v>
          </cell>
          <cell r="C33" t="str">
            <v>Fourniture et pose de massif filtrant</v>
          </cell>
          <cell r="D33" t="str">
            <v>ml</v>
          </cell>
          <cell r="E33">
            <v>35000</v>
          </cell>
          <cell r="F33">
            <v>10</v>
          </cell>
        </row>
        <row r="34">
          <cell r="B34" t="str">
            <v>401-46</v>
          </cell>
          <cell r="C34" t="str">
            <v>Fourniture et pose de bouchon d’étanchéité (peltonite, orégonite ou similaire)</v>
          </cell>
          <cell r="D34" t="str">
            <v>Ens.</v>
          </cell>
          <cell r="E34">
            <v>88200</v>
          </cell>
          <cell r="F34">
            <v>25.2</v>
          </cell>
        </row>
        <row r="35">
          <cell r="B35" t="str">
            <v>401-47</v>
          </cell>
          <cell r="C35" t="str">
            <v>Fourniture et pose d'équipement</v>
          </cell>
          <cell r="D35" t="str">
            <v>Ens.</v>
          </cell>
          <cell r="E35">
            <v>2100000</v>
          </cell>
          <cell r="F35">
            <v>600</v>
          </cell>
        </row>
        <row r="37">
          <cell r="B37" t="str">
            <v>401-5</v>
          </cell>
          <cell r="C37" t="str">
            <v>Divers</v>
          </cell>
        </row>
        <row r="38">
          <cell r="B38" t="str">
            <v>401-51</v>
          </cell>
          <cell r="C38" t="str">
            <v>Comblement de l'annulaire tubage /terrain avec tout-venant argileux</v>
          </cell>
          <cell r="D38" t="str">
            <v>Ens.</v>
          </cell>
          <cell r="E38">
            <v>956000</v>
          </cell>
          <cell r="F38">
            <v>273.14285714285717</v>
          </cell>
        </row>
        <row r="39">
          <cell r="B39" t="str">
            <v>401-52</v>
          </cell>
          <cell r="C39" t="str">
            <v>Cimentation remontante jusqu’à la surface</v>
          </cell>
          <cell r="D39" t="str">
            <v>ml</v>
          </cell>
          <cell r="E39">
            <v>135000</v>
          </cell>
          <cell r="F39">
            <v>38.571428571428569</v>
          </cell>
        </row>
        <row r="40">
          <cell r="B40" t="str">
            <v>401-53</v>
          </cell>
          <cell r="C40" t="str">
            <v>Tête de forage en béton 100x100x85 avec protection</v>
          </cell>
          <cell r="D40" t="str">
            <v>Ens.</v>
          </cell>
          <cell r="E40">
            <v>805400</v>
          </cell>
          <cell r="F40">
            <v>230.11428571428573</v>
          </cell>
        </row>
        <row r="41">
          <cell r="B41" t="str">
            <v>401-54</v>
          </cell>
          <cell r="C41" t="str">
            <v xml:space="preserve">Néttoyage et développement du forage </v>
          </cell>
          <cell r="D41" t="str">
            <v>Ens.</v>
          </cell>
          <cell r="E41">
            <v>1200000</v>
          </cell>
          <cell r="F41">
            <v>342.85714285714283</v>
          </cell>
        </row>
        <row r="42">
          <cell r="B42" t="str">
            <v>401-55</v>
          </cell>
          <cell r="C42" t="str">
            <v>Essai de puits et essai de nappe conforme aux spécifications</v>
          </cell>
          <cell r="D42" t="str">
            <v>Ens.</v>
          </cell>
          <cell r="E42">
            <v>1050000</v>
          </cell>
          <cell r="F42">
            <v>300</v>
          </cell>
        </row>
        <row r="43">
          <cell r="B43" t="str">
            <v>401-56</v>
          </cell>
          <cell r="C43" t="str">
            <v>Analyse physico-chimique et bactériologique</v>
          </cell>
          <cell r="D43" t="str">
            <v>Ens.</v>
          </cell>
          <cell r="E43">
            <v>800000</v>
          </cell>
          <cell r="F43">
            <v>228.57142857142858</v>
          </cell>
        </row>
        <row r="46">
          <cell r="B46" t="str">
            <v>403</v>
          </cell>
          <cell r="C46" t="str">
            <v>Réhabilitation de forage équipés de PMH</v>
          </cell>
        </row>
        <row r="47">
          <cell r="B47" t="str">
            <v>403-1</v>
          </cell>
          <cell r="C47" t="str">
            <v>Préparation</v>
          </cell>
          <cell r="D47" t="str">
            <v>Ens.</v>
          </cell>
          <cell r="E47">
            <v>350000</v>
          </cell>
          <cell r="F47">
            <v>100</v>
          </cell>
        </row>
        <row r="48">
          <cell r="B48" t="str">
            <v>403-2</v>
          </cell>
          <cell r="C48" t="str">
            <v>Démontage pompe à motrocité humaine (Type VLOM)</v>
          </cell>
          <cell r="D48" t="str">
            <v>Ens.</v>
          </cell>
          <cell r="E48">
            <v>250000</v>
          </cell>
          <cell r="F48">
            <v>71.428571428571431</v>
          </cell>
        </row>
        <row r="49">
          <cell r="B49" t="str">
            <v>403-2'</v>
          </cell>
          <cell r="C49" t="str">
            <v xml:space="preserve">Démontage de la pompe submersible existant et équipement </v>
          </cell>
          <cell r="D49" t="str">
            <v>Ens.</v>
          </cell>
          <cell r="E49">
            <v>450000</v>
          </cell>
          <cell r="F49">
            <v>128.57142857142858</v>
          </cell>
        </row>
        <row r="50">
          <cell r="B50" t="str">
            <v>403-3</v>
          </cell>
          <cell r="C50" t="str">
            <v>Nettoyage et developpement du forage</v>
          </cell>
          <cell r="D50" t="str">
            <v>Ens.</v>
          </cell>
          <cell r="E50">
            <v>1200000</v>
          </cell>
          <cell r="F50">
            <v>342.85714285714283</v>
          </cell>
        </row>
        <row r="51">
          <cell r="B51" t="str">
            <v>403-4</v>
          </cell>
          <cell r="C51" t="str">
            <v>Essai de puits et essai de nappe conforme aux specifications</v>
          </cell>
          <cell r="D51" t="str">
            <v>Ens.</v>
          </cell>
          <cell r="E51">
            <v>1050000</v>
          </cell>
          <cell r="F51">
            <v>300</v>
          </cell>
        </row>
        <row r="52">
          <cell r="B52" t="str">
            <v>403-5</v>
          </cell>
          <cell r="C52" t="str">
            <v>Analyse physico-chimique et bacteriologique</v>
          </cell>
          <cell r="D52" t="str">
            <v>Ens.</v>
          </cell>
          <cell r="E52">
            <v>800000</v>
          </cell>
          <cell r="F52">
            <v>228.57142857142858</v>
          </cell>
        </row>
        <row r="54">
          <cell r="B54" t="str">
            <v>404</v>
          </cell>
          <cell r="C54" t="str">
            <v>Equipement tête de puits ou forage</v>
          </cell>
        </row>
        <row r="55">
          <cell r="B55" t="str">
            <v>404-1</v>
          </cell>
          <cell r="C55" t="str">
            <v>Equipement tête de forage (amorce conduite,vanne anti-retour, débimêtre, manomètre etc…)</v>
          </cell>
          <cell r="D55" t="str">
            <v>Ens.</v>
          </cell>
          <cell r="E55">
            <v>1547500</v>
          </cell>
          <cell r="F55">
            <v>442.14285714285717</v>
          </cell>
        </row>
        <row r="56">
          <cell r="B56" t="str">
            <v>404-2</v>
          </cell>
          <cell r="C56" t="str">
            <v xml:space="preserve">Equipement tête de puits (amorce conduite,vanne anti-retour, débimêtre, etc…) </v>
          </cell>
          <cell r="D56" t="str">
            <v>Ens.</v>
          </cell>
          <cell r="E56">
            <v>1547500</v>
          </cell>
          <cell r="F56">
            <v>442.14285714285717</v>
          </cell>
        </row>
        <row r="58">
          <cell r="B58" t="str">
            <v>100</v>
          </cell>
          <cell r="C58" t="str">
            <v>SERIE 100 - TRAVAUX DE CONSTRUCTION OUVRAGES DE GENIE CIVIL</v>
          </cell>
        </row>
        <row r="60">
          <cell r="B60" t="str">
            <v>101</v>
          </cell>
          <cell r="C60" t="str">
            <v>Terrassement</v>
          </cell>
        </row>
        <row r="61">
          <cell r="B61" t="str">
            <v>101-1</v>
          </cell>
          <cell r="C61" t="str">
            <v>Décapage et débroussaillage</v>
          </cell>
          <cell r="D61" t="str">
            <v>m2</v>
          </cell>
          <cell r="E61">
            <v>2820</v>
          </cell>
          <cell r="F61">
            <v>0.80571428571428572</v>
          </cell>
        </row>
        <row r="62">
          <cell r="B62" t="str">
            <v>101-2</v>
          </cell>
          <cell r="C62" t="str">
            <v>Abattage d'arbres Ø &gt; 20 cm, y compris dessouchage</v>
          </cell>
          <cell r="D62" t="str">
            <v>m2</v>
          </cell>
          <cell r="E62">
            <v>15000</v>
          </cell>
          <cell r="F62">
            <v>4.2857142857142856</v>
          </cell>
        </row>
        <row r="63">
          <cell r="B63" t="str">
            <v>101-3</v>
          </cell>
          <cell r="C63" t="str">
            <v>Fouille en rigole ou en tranchée, en terre franche ou sabloneuse</v>
          </cell>
          <cell r="D63" t="str">
            <v>m3</v>
          </cell>
          <cell r="E63">
            <v>4920</v>
          </cell>
          <cell r="F63">
            <v>1.4057142857142857</v>
          </cell>
        </row>
        <row r="64">
          <cell r="B64" t="str">
            <v>101-4</v>
          </cell>
          <cell r="C64" t="str">
            <v>Fouille en puit y compris reglage, verticalité jusqu'en profondeur voulue</v>
          </cell>
          <cell r="D64" t="str">
            <v>m3</v>
          </cell>
          <cell r="E64">
            <v>7250</v>
          </cell>
          <cell r="F64">
            <v>2.0714285714285716</v>
          </cell>
        </row>
        <row r="65">
          <cell r="B65" t="str">
            <v>101-5</v>
          </cell>
          <cell r="C65" t="str">
            <v>Déblai ordinaire</v>
          </cell>
          <cell r="D65" t="str">
            <v>m3</v>
          </cell>
          <cell r="E65">
            <v>4100</v>
          </cell>
          <cell r="F65">
            <v>1.1714285714285715</v>
          </cell>
        </row>
        <row r="66">
          <cell r="B66" t="str">
            <v>101-6</v>
          </cell>
          <cell r="C66" t="str">
            <v>Déblai rocailleux</v>
          </cell>
          <cell r="D66" t="str">
            <v>m3</v>
          </cell>
          <cell r="E66">
            <v>15200</v>
          </cell>
          <cell r="F66">
            <v>4.3428571428571425</v>
          </cell>
        </row>
        <row r="67">
          <cell r="B67" t="str">
            <v>101-7</v>
          </cell>
          <cell r="C67" t="str">
            <v>Déroctage</v>
          </cell>
          <cell r="D67" t="str">
            <v>m3</v>
          </cell>
          <cell r="E67">
            <v>30000</v>
          </cell>
          <cell r="F67">
            <v>8.5714285714285712</v>
          </cell>
        </row>
        <row r="68">
          <cell r="B68" t="str">
            <v>101-8</v>
          </cell>
          <cell r="C68" t="str">
            <v>Remblais compacté par couche de 0,20m</v>
          </cell>
          <cell r="D68" t="str">
            <v>m3</v>
          </cell>
          <cell r="E68">
            <v>8060</v>
          </cell>
          <cell r="F68">
            <v>2.3028571428571429</v>
          </cell>
        </row>
        <row r="69">
          <cell r="B69" t="str">
            <v>101-9</v>
          </cell>
          <cell r="C69" t="str">
            <v>Evacuation de terre excédentaire</v>
          </cell>
          <cell r="D69" t="str">
            <v>m3</v>
          </cell>
          <cell r="E69">
            <v>37180</v>
          </cell>
          <cell r="F69">
            <v>10.622857142857143</v>
          </cell>
        </row>
        <row r="70">
          <cell r="B70" t="str">
            <v>101-10</v>
          </cell>
          <cell r="C70" t="str">
            <v>Apport de sable</v>
          </cell>
          <cell r="D70" t="str">
            <v>m3</v>
          </cell>
          <cell r="E70">
            <v>15500</v>
          </cell>
          <cell r="F70">
            <v>4.4285714285714288</v>
          </cell>
        </row>
        <row r="71">
          <cell r="B71" t="str">
            <v>101-11</v>
          </cell>
          <cell r="C71" t="str">
            <v>Enrochement</v>
          </cell>
          <cell r="D71" t="str">
            <v>m3</v>
          </cell>
          <cell r="E71">
            <v>47500</v>
          </cell>
          <cell r="F71">
            <v>13.571428571428571</v>
          </cell>
        </row>
        <row r="72">
          <cell r="B72" t="str">
            <v>101-12</v>
          </cell>
          <cell r="C72" t="str">
            <v>Trou d'ancrage</v>
          </cell>
          <cell r="D72" t="str">
            <v>uté</v>
          </cell>
          <cell r="E72">
            <v>14428</v>
          </cell>
          <cell r="F72">
            <v>4.1222857142857139</v>
          </cell>
        </row>
        <row r="73">
          <cell r="B73" t="str">
            <v>101-13</v>
          </cell>
          <cell r="C73" t="str">
            <v>Défrichage, y compris dessouchage</v>
          </cell>
          <cell r="D73" t="str">
            <v>m2</v>
          </cell>
          <cell r="E73">
            <v>10000</v>
          </cell>
        </row>
        <row r="75">
          <cell r="B75" t="str">
            <v>102</v>
          </cell>
          <cell r="C75" t="str">
            <v>Maçonnerie et béton</v>
          </cell>
        </row>
        <row r="76">
          <cell r="B76" t="str">
            <v>102-1</v>
          </cell>
          <cell r="C76" t="str">
            <v>Hérissonnage</v>
          </cell>
          <cell r="D76" t="str">
            <v>m3</v>
          </cell>
          <cell r="E76">
            <v>60100</v>
          </cell>
          <cell r="F76">
            <v>17.171428571428571</v>
          </cell>
        </row>
        <row r="77">
          <cell r="B77" t="str">
            <v>102-2</v>
          </cell>
          <cell r="C77" t="str">
            <v>Béton de propreté dosé à 150 kg/m3, ep. 5cm</v>
          </cell>
          <cell r="D77" t="str">
            <v>m3</v>
          </cell>
          <cell r="E77">
            <v>420200</v>
          </cell>
          <cell r="F77">
            <v>120.05714285714286</v>
          </cell>
        </row>
        <row r="78">
          <cell r="B78" t="str">
            <v>102-3</v>
          </cell>
          <cell r="C78" t="str">
            <v>Béton ordinaire dosé à 250 kg/m³</v>
          </cell>
          <cell r="D78" t="str">
            <v>m3</v>
          </cell>
          <cell r="E78">
            <v>564100</v>
          </cell>
          <cell r="F78">
            <v>161.17142857142858</v>
          </cell>
        </row>
        <row r="79">
          <cell r="B79" t="str">
            <v>102-3"</v>
          </cell>
          <cell r="C79" t="str">
            <v>Béton ordinaire dosé à 300 kg/m3</v>
          </cell>
          <cell r="D79" t="str">
            <v>m2</v>
          </cell>
          <cell r="E79">
            <v>616300</v>
          </cell>
          <cell r="F79">
            <v>176.08571428571429</v>
          </cell>
        </row>
        <row r="80">
          <cell r="B80" t="str">
            <v>102-4</v>
          </cell>
          <cell r="C80" t="str">
            <v>Béton cyclopéen dosé à 300 kg/m3</v>
          </cell>
          <cell r="D80" t="str">
            <v>m3</v>
          </cell>
          <cell r="E80">
            <v>405000</v>
          </cell>
          <cell r="F80">
            <v>115.71428571428571</v>
          </cell>
        </row>
        <row r="81">
          <cell r="B81" t="str">
            <v>102-5</v>
          </cell>
          <cell r="C81" t="str">
            <v>Béton armé dosé à 350 kg/m3</v>
          </cell>
          <cell r="D81" t="str">
            <v>m3</v>
          </cell>
          <cell r="E81">
            <v>555000</v>
          </cell>
          <cell r="F81">
            <v>158.57142857142858</v>
          </cell>
        </row>
        <row r="82">
          <cell r="B82" t="str">
            <v>102-6</v>
          </cell>
          <cell r="C82" t="str">
            <v>Enduit au mortier de ciment dosé à 350 Kg/m3, ep. 15cm</v>
          </cell>
          <cell r="D82" t="str">
            <v>m2</v>
          </cell>
          <cell r="E82">
            <v>14500</v>
          </cell>
          <cell r="F82">
            <v>4.1428571428571432</v>
          </cell>
        </row>
        <row r="83">
          <cell r="B83" t="str">
            <v>102-7</v>
          </cell>
          <cell r="C83" t="str">
            <v>Enduit au mortier de ciment dosé à 400 Kg/m3, ep. 15cm</v>
          </cell>
          <cell r="D83" t="str">
            <v>m2</v>
          </cell>
          <cell r="E83">
            <v>14300</v>
          </cell>
          <cell r="F83">
            <v>4.0857142857142854</v>
          </cell>
        </row>
        <row r="84">
          <cell r="B84" t="str">
            <v>102-8</v>
          </cell>
          <cell r="C84" t="str">
            <v>Enduit étanche au mortier de ciment dosé à 500 Kg/m3</v>
          </cell>
          <cell r="D84" t="str">
            <v>m2</v>
          </cell>
          <cell r="E84">
            <v>17600</v>
          </cell>
          <cell r="F84">
            <v>5.0285714285714285</v>
          </cell>
        </row>
        <row r="85">
          <cell r="B85" t="str">
            <v>102-9</v>
          </cell>
          <cell r="C85" t="str">
            <v>Chape ordinaire au mortier de ciment dosé à 450 kg/m3, ep. 15cm</v>
          </cell>
          <cell r="D85" t="str">
            <v>m2</v>
          </cell>
          <cell r="E85">
            <v>14800</v>
          </cell>
          <cell r="F85">
            <v>4.2285714285714286</v>
          </cell>
        </row>
        <row r="86">
          <cell r="B86" t="str">
            <v>102-9a</v>
          </cell>
          <cell r="C86" t="str">
            <v>Chape ordinaire au mortier de ciment dosé à 400 kg/m3, ep. 20cm</v>
          </cell>
          <cell r="D86" t="str">
            <v>m2</v>
          </cell>
          <cell r="E86">
            <v>14800</v>
          </cell>
          <cell r="F86">
            <v>4.2285714285714286</v>
          </cell>
        </row>
        <row r="87">
          <cell r="B87" t="str">
            <v>102-10</v>
          </cell>
          <cell r="C87" t="str">
            <v>Chape étanche au mortier de ciment dosé à 500 kg/m3</v>
          </cell>
          <cell r="D87" t="str">
            <v>m2</v>
          </cell>
          <cell r="E87">
            <v>15650</v>
          </cell>
          <cell r="F87">
            <v>4.4714285714285715</v>
          </cell>
          <cell r="H87" t="e">
            <v>#REF!</v>
          </cell>
        </row>
        <row r="88">
          <cell r="B88" t="str">
            <v>102-11</v>
          </cell>
          <cell r="C88" t="str">
            <v>Etanchéité monocouche</v>
          </cell>
          <cell r="D88" t="str">
            <v>m2</v>
          </cell>
          <cell r="F88">
            <v>0</v>
          </cell>
        </row>
        <row r="89">
          <cell r="B89" t="str">
            <v>102-12</v>
          </cell>
          <cell r="C89" t="str">
            <v>Relevé d'étanchéité</v>
          </cell>
          <cell r="D89" t="str">
            <v>ml</v>
          </cell>
          <cell r="F89">
            <v>0</v>
          </cell>
        </row>
        <row r="90">
          <cell r="B90" t="str">
            <v>102-13</v>
          </cell>
          <cell r="C90" t="str">
            <v>Coffrages plans ordinaires</v>
          </cell>
          <cell r="D90" t="str">
            <v>m2</v>
          </cell>
          <cell r="E90">
            <v>15100</v>
          </cell>
          <cell r="F90">
            <v>4.3142857142857141</v>
          </cell>
        </row>
        <row r="91">
          <cell r="B91" t="str">
            <v>102-14</v>
          </cell>
          <cell r="C91" t="str">
            <v>Coffrage plans soignés</v>
          </cell>
          <cell r="D91" t="str">
            <v>m2</v>
          </cell>
          <cell r="E91">
            <v>25000</v>
          </cell>
          <cell r="F91">
            <v>7.1428571428571432</v>
          </cell>
        </row>
        <row r="92">
          <cell r="B92" t="str">
            <v>102-15</v>
          </cell>
          <cell r="C92" t="str">
            <v xml:space="preserve">Aciers à haute adhérence </v>
          </cell>
          <cell r="D92" t="str">
            <v>kg</v>
          </cell>
          <cell r="E92">
            <v>16900</v>
          </cell>
          <cell r="F92">
            <v>4.8285714285714283</v>
          </cell>
          <cell r="H92">
            <v>256</v>
          </cell>
          <cell r="I92">
            <v>12.8</v>
          </cell>
        </row>
        <row r="93">
          <cell r="B93" t="str">
            <v>102-16</v>
          </cell>
          <cell r="C93" t="str">
            <v>Maçonnerie de moellons hourdée au mortier de ciment 300kg/m3</v>
          </cell>
          <cell r="D93" t="str">
            <v>m3</v>
          </cell>
          <cell r="E93">
            <v>172500</v>
          </cell>
          <cell r="F93">
            <v>49.285714285714285</v>
          </cell>
        </row>
        <row r="94">
          <cell r="B94" t="str">
            <v>102-17</v>
          </cell>
          <cell r="C94" t="str">
            <v>Maçonnerie de parpaing de 20x20x40 cm (ép. 20 cm)</v>
          </cell>
          <cell r="D94" t="str">
            <v>m3</v>
          </cell>
          <cell r="E94">
            <v>88388</v>
          </cell>
          <cell r="F94">
            <v>25.253714285714285</v>
          </cell>
        </row>
        <row r="95">
          <cell r="B95" t="str">
            <v>102-18</v>
          </cell>
          <cell r="C95" t="str">
            <v>Maçonnerie de parpaings de 10x20x40 cm (ép. 10 cm)</v>
          </cell>
          <cell r="D95" t="str">
            <v>m3</v>
          </cell>
          <cell r="E95">
            <v>57874</v>
          </cell>
          <cell r="F95">
            <v>16.535428571428572</v>
          </cell>
        </row>
        <row r="96">
          <cell r="B96" t="str">
            <v>102-19</v>
          </cell>
          <cell r="C96" t="str">
            <v>Maçonnerie de brique cuites, hourdée au mortier de ciment, d'ép. 0,11m</v>
          </cell>
          <cell r="D96" t="str">
            <v>m2</v>
          </cell>
          <cell r="E96">
            <v>24300</v>
          </cell>
          <cell r="F96">
            <v>6.9428571428571431</v>
          </cell>
        </row>
        <row r="97">
          <cell r="B97" t="str">
            <v>102-20</v>
          </cell>
          <cell r="C97" t="str">
            <v>Maçonnerie de brique cuites, hourdée au mortier de ciment, d'ép. 0,22m</v>
          </cell>
          <cell r="D97" t="str">
            <v>m2</v>
          </cell>
          <cell r="E97">
            <v>37200</v>
          </cell>
          <cell r="F97">
            <v>10.628571428571428</v>
          </cell>
          <cell r="H97">
            <v>1.9599999999999997</v>
          </cell>
        </row>
        <row r="98">
          <cell r="B98" t="str">
            <v>102-21</v>
          </cell>
          <cell r="C98" t="str">
            <v>Carreaux en faïence de 20x30</v>
          </cell>
          <cell r="D98" t="str">
            <v>m2</v>
          </cell>
          <cell r="E98">
            <v>76000</v>
          </cell>
          <cell r="F98">
            <v>21.714285714285715</v>
          </cell>
        </row>
        <row r="99">
          <cell r="B99" t="str">
            <v>102-22</v>
          </cell>
          <cell r="C99" t="str">
            <v>Maçonnerie d'agglos creux de ciment hourdée au mortier dosé à300 kg e=0,20m</v>
          </cell>
          <cell r="D99" t="str">
            <v>m2</v>
          </cell>
          <cell r="E99">
            <v>60000</v>
          </cell>
          <cell r="F99">
            <v>17.142857142857142</v>
          </cell>
        </row>
        <row r="100">
          <cell r="B100" t="str">
            <v>102-23</v>
          </cell>
          <cell r="C100" t="str">
            <v>Maçonnerie d'agglos creux de ciment hourdée au mortier dosé à300 kg e=0,10m</v>
          </cell>
          <cell r="D100" t="str">
            <v>m2</v>
          </cell>
          <cell r="E100">
            <v>36000</v>
          </cell>
          <cell r="F100">
            <v>10.285714285714286</v>
          </cell>
          <cell r="H100">
            <v>2.25</v>
          </cell>
        </row>
        <row r="101">
          <cell r="B101" t="str">
            <v>102-24</v>
          </cell>
          <cell r="C101" t="str">
            <v>Maçonnerie de claustras de 0,20 m type "boite aux lettres" hourdées au mortier de ciment dosé à 300 Kg/m3 de CEM I 42,5</v>
          </cell>
          <cell r="D101" t="str">
            <v>m2</v>
          </cell>
          <cell r="E101">
            <v>31780</v>
          </cell>
          <cell r="F101">
            <v>9.08</v>
          </cell>
        </row>
        <row r="102">
          <cell r="B102" t="str">
            <v>102-25</v>
          </cell>
          <cell r="C102" t="str">
            <v>Maçonnerie de brique de verre de 20x20</v>
          </cell>
          <cell r="D102" t="str">
            <v>m2</v>
          </cell>
          <cell r="E102">
            <v>220000</v>
          </cell>
          <cell r="F102">
            <v>62.857142857142854</v>
          </cell>
        </row>
        <row r="103">
          <cell r="B103" t="str">
            <v>102-26</v>
          </cell>
          <cell r="C103" t="str">
            <v>Chape bouchardé de 0,015 d'épaisseur exécutée au mortier dosé à 450 kg/m3 de CPA</v>
          </cell>
          <cell r="D103" t="str">
            <v>m2</v>
          </cell>
          <cell r="E103">
            <v>273000</v>
          </cell>
          <cell r="F103">
            <v>78</v>
          </cell>
        </row>
        <row r="104">
          <cell r="B104" t="str">
            <v>102-27</v>
          </cell>
          <cell r="C104" t="str">
            <v>Chape lisse de 0,015 d'épaisseur exécutée au mortier dosé à 450 kg/m3 de CPA</v>
          </cell>
          <cell r="D104" t="str">
            <v>m2</v>
          </cell>
          <cell r="E104">
            <v>61599.999999999993</v>
          </cell>
          <cell r="F104">
            <v>17.599999999999998</v>
          </cell>
        </row>
        <row r="106">
          <cell r="B106" t="str">
            <v>103</v>
          </cell>
          <cell r="C106" t="str">
            <v>Divers</v>
          </cell>
        </row>
        <row r="107">
          <cell r="B107" t="str">
            <v>103-1</v>
          </cell>
          <cell r="C107" t="str">
            <v>Regard 40x40x60 avec fond, parois et tampon en BA avec système de fermeture métallique cadenassé</v>
          </cell>
          <cell r="D107" t="str">
            <v>U</v>
          </cell>
          <cell r="E107">
            <v>167000</v>
          </cell>
          <cell r="F107">
            <v>47.714285714285715</v>
          </cell>
        </row>
        <row r="108">
          <cell r="B108" t="str">
            <v>103-1a</v>
          </cell>
          <cell r="C108" t="str">
            <v>Regard chambre de vanne 40x40x60 avec fond, en BA et couvercle</v>
          </cell>
          <cell r="D108" t="str">
            <v>U</v>
          </cell>
          <cell r="E108">
            <v>177000</v>
          </cell>
          <cell r="F108">
            <v>50.571428571428569</v>
          </cell>
        </row>
        <row r="109">
          <cell r="B109" t="str">
            <v>103-1b</v>
          </cell>
          <cell r="C109" t="str">
            <v>Regard collecteur d'eau pluviale 40x40x60 avec fond, en BA</v>
          </cell>
          <cell r="D109" t="str">
            <v>U</v>
          </cell>
          <cell r="E109">
            <v>167000</v>
          </cell>
          <cell r="F109">
            <v>47.714285714285715</v>
          </cell>
        </row>
        <row r="110">
          <cell r="B110" t="str">
            <v>103-2</v>
          </cell>
          <cell r="C110" t="str">
            <v>Regard 60x60x60 avec fond, parois et tampon en BA avec système de fermeture métallique cadenassé</v>
          </cell>
          <cell r="D110" t="str">
            <v>U</v>
          </cell>
          <cell r="E110">
            <v>250000</v>
          </cell>
          <cell r="F110">
            <v>71.428571428571431</v>
          </cell>
        </row>
        <row r="111">
          <cell r="B111" t="str">
            <v>103-2'</v>
          </cell>
          <cell r="C111" t="str">
            <v>Regard 60x60x60 avec fond, parois et tampon en BA avec système de fermeture métallique cadenassé</v>
          </cell>
          <cell r="D111" t="str">
            <v>U</v>
          </cell>
          <cell r="E111">
            <v>250000</v>
          </cell>
          <cell r="F111">
            <v>71.428571428571431</v>
          </cell>
        </row>
        <row r="112">
          <cell r="B112" t="str">
            <v>103-3</v>
          </cell>
          <cell r="C112" t="str">
            <v>Regard 60x60x150 avec fond, parois et tampon en BA avec avec système de fermeture métallique cadenassé</v>
          </cell>
          <cell r="D112" t="str">
            <v>U</v>
          </cell>
          <cell r="E112">
            <v>124500</v>
          </cell>
          <cell r="F112">
            <v>35.571428571428569</v>
          </cell>
        </row>
        <row r="113">
          <cell r="B113" t="str">
            <v>103-4</v>
          </cell>
          <cell r="C113" t="str">
            <v>Regard de captage 120/80 en béton armé</v>
          </cell>
          <cell r="D113" t="str">
            <v>U</v>
          </cell>
          <cell r="E113">
            <v>156000</v>
          </cell>
          <cell r="F113">
            <v>44.571428571428569</v>
          </cell>
        </row>
        <row r="114">
          <cell r="B114" t="str">
            <v>103-4'</v>
          </cell>
          <cell r="C114" t="str">
            <v>Tampon en BA perforé dosé de 350kg/m3 du regard de captage 1,15/58 en béton armé: (0,58x0,60)</v>
          </cell>
          <cell r="D114" t="str">
            <v>U</v>
          </cell>
          <cell r="E114">
            <v>62400</v>
          </cell>
          <cell r="F114">
            <v>17.828571428571429</v>
          </cell>
        </row>
        <row r="115">
          <cell r="B115" t="str">
            <v>103-5</v>
          </cell>
          <cell r="C115" t="str">
            <v>Buse pleine armé dosé à 350kg/m3 diamètre 1500</v>
          </cell>
          <cell r="D115" t="str">
            <v>U</v>
          </cell>
          <cell r="E115">
            <v>113200</v>
          </cell>
          <cell r="F115">
            <v>32.342857142857142</v>
          </cell>
        </row>
        <row r="116">
          <cell r="B116" t="str">
            <v>103-6</v>
          </cell>
          <cell r="C116" t="str">
            <v>Buse armé perforé dosé à 350kg/m3 diamètre 1500</v>
          </cell>
          <cell r="D116" t="str">
            <v>U</v>
          </cell>
          <cell r="E116">
            <v>152900</v>
          </cell>
          <cell r="F116">
            <v>43.685714285714283</v>
          </cell>
        </row>
        <row r="117">
          <cell r="B117" t="str">
            <v>103-7</v>
          </cell>
          <cell r="C117" t="str">
            <v>Buses armé dosé à 350kg/m3 barbacannées armée diamètre 2000</v>
          </cell>
          <cell r="D117" t="str">
            <v>U</v>
          </cell>
          <cell r="E117">
            <v>178500</v>
          </cell>
          <cell r="F117">
            <v>51</v>
          </cell>
        </row>
        <row r="118">
          <cell r="B118" t="str">
            <v>103-8</v>
          </cell>
          <cell r="C118" t="str">
            <v>Puisard absorbant de section 0,7x0,7m et de profondeur 1,00m, parois en maçonnerie sèche de blocage avec tampon en BA amovible</v>
          </cell>
          <cell r="D118" t="str">
            <v>U</v>
          </cell>
          <cell r="E118">
            <v>237000</v>
          </cell>
          <cell r="F118">
            <v>67.714285714285708</v>
          </cell>
        </row>
        <row r="119">
          <cell r="B119" t="str">
            <v>103-9</v>
          </cell>
          <cell r="C119" t="str">
            <v>Canne d'ancrage en fer diamètre 12</v>
          </cell>
          <cell r="D119" t="str">
            <v>U</v>
          </cell>
          <cell r="E119">
            <v>11080</v>
          </cell>
          <cell r="F119">
            <v>3.1657142857142859</v>
          </cell>
        </row>
        <row r="120">
          <cell r="B120" t="str">
            <v>103-10</v>
          </cell>
          <cell r="C120" t="str">
            <v>Gravier filtre (12/18,8/12,4/8)</v>
          </cell>
          <cell r="D120" t="str">
            <v>m3</v>
          </cell>
          <cell r="E120">
            <v>35250</v>
          </cell>
          <cell r="F120">
            <v>10.071428571428571</v>
          </cell>
        </row>
        <row r="121">
          <cell r="B121" t="str">
            <v>103-11</v>
          </cell>
          <cell r="C121" t="str">
            <v>Gravier (30-40)</v>
          </cell>
          <cell r="D121" t="str">
            <v>m3</v>
          </cell>
          <cell r="E121">
            <v>86000</v>
          </cell>
          <cell r="F121">
            <v>24.571428571428573</v>
          </cell>
        </row>
        <row r="122">
          <cell r="B122" t="str">
            <v>103-12</v>
          </cell>
          <cell r="C122" t="str">
            <v>Pierre (50-100)</v>
          </cell>
          <cell r="D122" t="str">
            <v>m3</v>
          </cell>
          <cell r="E122">
            <v>48200</v>
          </cell>
          <cell r="F122">
            <v>13.771428571428572</v>
          </cell>
        </row>
        <row r="123">
          <cell r="B123" t="str">
            <v>103-13</v>
          </cell>
          <cell r="C123" t="str">
            <v>Joint type waterstop</v>
          </cell>
          <cell r="D123" t="str">
            <v>ml</v>
          </cell>
          <cell r="E123">
            <v>57900</v>
          </cell>
          <cell r="F123">
            <v>16.542857142857144</v>
          </cell>
        </row>
        <row r="124">
          <cell r="B124" t="str">
            <v>103-14</v>
          </cell>
          <cell r="C124" t="str">
            <v>Poutrelle de vanne batardable</v>
          </cell>
          <cell r="D124" t="str">
            <v>m2</v>
          </cell>
          <cell r="E124">
            <v>189000</v>
          </cell>
          <cell r="F124">
            <v>54</v>
          </cell>
        </row>
        <row r="125">
          <cell r="B125" t="str">
            <v>103-15</v>
          </cell>
          <cell r="C125" t="str">
            <v>Gabion de 1x1x2 m, maille galvanisé 60x80cm, 3mm</v>
          </cell>
          <cell r="D125" t="str">
            <v>U</v>
          </cell>
          <cell r="E125">
            <v>950000</v>
          </cell>
          <cell r="F125">
            <v>271.42857142857144</v>
          </cell>
        </row>
        <row r="126">
          <cell r="B126" t="str">
            <v>103-16</v>
          </cell>
          <cell r="C126" t="str">
            <v>Gabion semelle de 0,5x1,5x2m maille galvanisé 60x80cm, 3mm</v>
          </cell>
          <cell r="D126" t="str">
            <v>U</v>
          </cell>
          <cell r="E126">
            <v>475000</v>
          </cell>
          <cell r="F126">
            <v>135.71428571428572</v>
          </cell>
        </row>
        <row r="127">
          <cell r="B127" t="str">
            <v>103-17</v>
          </cell>
          <cell r="C127" t="str">
            <v xml:space="preserve">Couche de blocage </v>
          </cell>
          <cell r="D127" t="str">
            <v>m3</v>
          </cell>
          <cell r="E127">
            <v>49320</v>
          </cell>
          <cell r="F127">
            <v>14.091428571428571</v>
          </cell>
        </row>
        <row r="128">
          <cell r="B128" t="str">
            <v>103-18</v>
          </cell>
          <cell r="C128" t="str">
            <v>Fourniture et pose de sable moyen à grossier, gravier filtre et charbon</v>
          </cell>
          <cell r="D128" t="str">
            <v>m3</v>
          </cell>
          <cell r="E128">
            <v>42780</v>
          </cell>
          <cell r="F128">
            <v>12.222857142857142</v>
          </cell>
        </row>
        <row r="129">
          <cell r="B129" t="str">
            <v>103-19</v>
          </cell>
          <cell r="C129" t="str">
            <v>Fourniture et Fourniture et pose de buselure pour dalle placée en quinconce</v>
          </cell>
          <cell r="D129" t="str">
            <v>u</v>
          </cell>
          <cell r="E129">
            <v>29040</v>
          </cell>
          <cell r="F129">
            <v>8.2971428571428572</v>
          </cell>
        </row>
        <row r="130">
          <cell r="B130" t="str">
            <v>103-20</v>
          </cell>
          <cell r="C130" t="str">
            <v>Regard 100X100X80 avec fond, parois en BA et tampon metallique avec systme de fermeture cadenassé</v>
          </cell>
          <cell r="D130" t="str">
            <v>u</v>
          </cell>
          <cell r="E130">
            <v>1130000</v>
          </cell>
          <cell r="F130">
            <v>322.85714285714283</v>
          </cell>
        </row>
        <row r="131">
          <cell r="B131" t="str">
            <v>103-21</v>
          </cell>
          <cell r="C131" t="str">
            <v>Produit chlorant y compris frais divers pour une periode de douze mois V2</v>
          </cell>
          <cell r="D131" t="str">
            <v>Ens.</v>
          </cell>
          <cell r="E131">
            <v>1384275</v>
          </cell>
          <cell r="F131">
            <v>395.50714285714287</v>
          </cell>
        </row>
        <row r="132">
          <cell r="B132" t="str">
            <v>103-22</v>
          </cell>
          <cell r="C132" t="str">
            <v>Produit chlorant y compris frais divers pour une periode de douze mois V1</v>
          </cell>
          <cell r="D132" t="str">
            <v>Ens.</v>
          </cell>
          <cell r="E132">
            <v>1072055.3936292701</v>
          </cell>
          <cell r="F132">
            <v>306.30154103693434</v>
          </cell>
        </row>
        <row r="133">
          <cell r="B133" t="str">
            <v>103-23</v>
          </cell>
          <cell r="C133" t="str">
            <v>Bidon de 50l</v>
          </cell>
          <cell r="D133" t="str">
            <v>u</v>
          </cell>
          <cell r="E133">
            <v>15000</v>
          </cell>
          <cell r="F133">
            <v>4.2857142857142856</v>
          </cell>
        </row>
        <row r="134">
          <cell r="B134" t="str">
            <v>103-24</v>
          </cell>
          <cell r="C134" t="str">
            <v>Vanne de chasse métallique 80 X 140</v>
          </cell>
          <cell r="D134" t="str">
            <v>u</v>
          </cell>
          <cell r="E134">
            <v>1200000</v>
          </cell>
          <cell r="F134">
            <v>342.85714285714283</v>
          </cell>
        </row>
        <row r="135">
          <cell r="B135" t="str">
            <v>103-25</v>
          </cell>
          <cell r="C135" t="str">
            <v xml:space="preserve">Matériaux filtrants pour Bassin de Filtration </v>
          </cell>
          <cell r="D135" t="str">
            <v>u</v>
          </cell>
          <cell r="E135">
            <v>15002</v>
          </cell>
          <cell r="F135">
            <v>4.2862857142857145</v>
          </cell>
        </row>
        <row r="136">
          <cell r="B136" t="str">
            <v>103-26</v>
          </cell>
          <cell r="C136" t="str">
            <v>Grillage avertisseur Bleu de largeur 0,3m</v>
          </cell>
          <cell r="D136" t="str">
            <v>ml</v>
          </cell>
          <cell r="E136">
            <v>4150</v>
          </cell>
          <cell r="F136">
            <v>1.1857142857142857</v>
          </cell>
        </row>
        <row r="137">
          <cell r="B137" t="str">
            <v>103-27</v>
          </cell>
          <cell r="C137" t="str">
            <v>Carreau sol de 30x30 en gres cerame</v>
          </cell>
          <cell r="D137" t="str">
            <v>m2</v>
          </cell>
          <cell r="E137">
            <v>96000</v>
          </cell>
          <cell r="F137">
            <v>27.428571428571427</v>
          </cell>
        </row>
        <row r="138">
          <cell r="B138" t="str">
            <v>103-28</v>
          </cell>
          <cell r="C138" t="str">
            <v xml:space="preserve">Carreau mural de 20x30 </v>
          </cell>
          <cell r="D138" t="str">
            <v>m2</v>
          </cell>
          <cell r="E138">
            <v>75000</v>
          </cell>
          <cell r="F138">
            <v>21.428571428571427</v>
          </cell>
        </row>
        <row r="139">
          <cell r="B139" t="str">
            <v>103-29</v>
          </cell>
          <cell r="C139" t="str">
            <v>Fourniture et pose  de fosse septique</v>
          </cell>
          <cell r="D139" t="str">
            <v>U</v>
          </cell>
          <cell r="E139">
            <v>8000000</v>
          </cell>
          <cell r="F139">
            <v>2285.7142857142858</v>
          </cell>
        </row>
        <row r="140">
          <cell r="B140" t="str">
            <v>103-30</v>
          </cell>
          <cell r="C140" t="str">
            <v>Fourniture et pose  de puisard absorbant</v>
          </cell>
          <cell r="D140" t="str">
            <v>U</v>
          </cell>
          <cell r="E140">
            <v>1200000</v>
          </cell>
          <cell r="F140">
            <v>342.85714285714283</v>
          </cell>
        </row>
        <row r="141">
          <cell r="B141" t="str">
            <v>103-31</v>
          </cell>
          <cell r="C141" t="str">
            <v>Fourniture et pose de  WC à la turque en porcelaine avec chasse d'eau</v>
          </cell>
          <cell r="D141" t="str">
            <v>U</v>
          </cell>
          <cell r="E141">
            <v>120000</v>
          </cell>
          <cell r="F141">
            <v>34.285714285714285</v>
          </cell>
        </row>
        <row r="142">
          <cell r="B142" t="str">
            <v>103-31a</v>
          </cell>
          <cell r="C142" t="str">
            <v>Fourniture et pose de  WC à l'anglaise</v>
          </cell>
          <cell r="D142" t="str">
            <v>U</v>
          </cell>
          <cell r="E142">
            <v>650000</v>
          </cell>
          <cell r="F142">
            <v>185.71428571428572</v>
          </cell>
        </row>
        <row r="143">
          <cell r="B143" t="str">
            <v>103-32</v>
          </cell>
          <cell r="C143" t="str">
            <v>Fourniture et pose  de lave main</v>
          </cell>
          <cell r="D143" t="str">
            <v>U</v>
          </cell>
          <cell r="E143">
            <v>65000</v>
          </cell>
          <cell r="F143">
            <v>18.571428571428573</v>
          </cell>
        </row>
        <row r="144">
          <cell r="B144" t="str">
            <v>103-33</v>
          </cell>
          <cell r="C144" t="str">
            <v>-Fourniture et pose  PVC 40</v>
          </cell>
          <cell r="D144" t="str">
            <v>ml</v>
          </cell>
          <cell r="E144">
            <v>7500</v>
          </cell>
          <cell r="F144">
            <v>2.1428571428571428</v>
          </cell>
        </row>
        <row r="145">
          <cell r="B145" t="str">
            <v>103-34</v>
          </cell>
          <cell r="C145" t="str">
            <v>-Fourniture et pose  PVC 100</v>
          </cell>
          <cell r="D145" t="str">
            <v>ml</v>
          </cell>
          <cell r="E145">
            <v>11000</v>
          </cell>
          <cell r="F145">
            <v>3.1428571428571428</v>
          </cell>
        </row>
        <row r="146">
          <cell r="B146" t="str">
            <v>103-35</v>
          </cell>
          <cell r="C146" t="str">
            <v>Grille en fer rond f 12 pour couvercle caniveau de 0,40 cm de largeur</v>
          </cell>
          <cell r="D146" t="str">
            <v>ml</v>
          </cell>
          <cell r="E146">
            <v>40000</v>
          </cell>
          <cell r="F146">
            <v>11.428571428571429</v>
          </cell>
        </row>
        <row r="147">
          <cell r="B147" t="str">
            <v>103-36</v>
          </cell>
          <cell r="C147" t="str">
            <v xml:space="preserve"> Fourniture et pose de tête de bouche à clé en béton ordinaire avec couvercle en BA de dim. 40 x40 x 50</v>
          </cell>
          <cell r="D147" t="str">
            <v>u</v>
          </cell>
          <cell r="E147">
            <v>80000</v>
          </cell>
          <cell r="F147">
            <v>22.857142857142858</v>
          </cell>
        </row>
        <row r="148">
          <cell r="B148" t="str">
            <v>103-37</v>
          </cell>
          <cell r="C148" t="str">
            <v>Construction de compartiment de douche accessible à l'italienne</v>
          </cell>
          <cell r="D148" t="str">
            <v>u</v>
          </cell>
          <cell r="E148">
            <v>748150</v>
          </cell>
          <cell r="F148">
            <v>213.75714285714287</v>
          </cell>
        </row>
        <row r="149">
          <cell r="B149" t="str">
            <v>103-38</v>
          </cell>
          <cell r="C149" t="str">
            <v>Confection siège anglaise à trou vertical en BA pour personne en situation handicap</v>
          </cell>
          <cell r="D149" t="str">
            <v>u</v>
          </cell>
          <cell r="E149">
            <v>348140</v>
          </cell>
          <cell r="F149">
            <v>99.468571428571423</v>
          </cell>
        </row>
        <row r="150">
          <cell r="B150" t="str">
            <v>103-39</v>
          </cell>
          <cell r="C150" t="str">
            <v xml:space="preserve">Joint d'étancheité de D15 </v>
          </cell>
          <cell r="D150" t="str">
            <v>U</v>
          </cell>
          <cell r="E150">
            <v>4666.12</v>
          </cell>
          <cell r="F150">
            <v>1.3331771428571428</v>
          </cell>
        </row>
        <row r="151">
          <cell r="B151" t="str">
            <v>103-40</v>
          </cell>
          <cell r="C151" t="str">
            <v>Paume de douche type balladeuse ou téléphone</v>
          </cell>
          <cell r="D151" t="str">
            <v>U</v>
          </cell>
          <cell r="E151">
            <v>98760</v>
          </cell>
          <cell r="F151">
            <v>28.217142857142857</v>
          </cell>
        </row>
        <row r="152">
          <cell r="B152" t="str">
            <v>103-41</v>
          </cell>
          <cell r="C152" t="str">
            <v xml:space="preserve">Dalle SANPLAT </v>
          </cell>
          <cell r="D152" t="str">
            <v>U</v>
          </cell>
          <cell r="E152">
            <v>98032.5</v>
          </cell>
          <cell r="F152">
            <v>28.009285714285713</v>
          </cell>
        </row>
        <row r="153">
          <cell r="B153" t="str">
            <v>103-42</v>
          </cell>
          <cell r="C153" t="str">
            <v>Douille filté FM D15/20</v>
          </cell>
          <cell r="D153" t="str">
            <v>U</v>
          </cell>
          <cell r="E153">
            <v>5759</v>
          </cell>
          <cell r="F153">
            <v>1.6454285714285715</v>
          </cell>
        </row>
        <row r="154">
          <cell r="B154" t="str">
            <v>103-43</v>
          </cell>
          <cell r="C154" t="str">
            <v>Fourniture et pose de porte métallique</v>
          </cell>
          <cell r="D154" t="str">
            <v>U</v>
          </cell>
          <cell r="E154">
            <v>698000</v>
          </cell>
          <cell r="F154">
            <v>199.42857142857142</v>
          </cell>
        </row>
        <row r="155">
          <cell r="B155" t="str">
            <v>103-44</v>
          </cell>
          <cell r="C155" t="str">
            <v>Fourniture et pose des barres d'appui en tuyau galvanisé pour les compartiments accessibles</v>
          </cell>
          <cell r="D155" t="str">
            <v>U</v>
          </cell>
          <cell r="E155">
            <v>62235.56</v>
          </cell>
          <cell r="F155">
            <v>17.781588571428571</v>
          </cell>
        </row>
        <row r="156">
          <cell r="B156" t="str">
            <v>103-45</v>
          </cell>
          <cell r="C156" t="str">
            <v>Fourniture et pose de serrure courante de toute les portes, type "encastré doubles poignés vachette ou équivalent"</v>
          </cell>
          <cell r="D156" t="str">
            <v>U</v>
          </cell>
          <cell r="E156">
            <v>174070</v>
          </cell>
          <cell r="F156">
            <v>49.734285714285711</v>
          </cell>
        </row>
        <row r="157">
          <cell r="B157" t="str">
            <v>103-46</v>
          </cell>
          <cell r="C157" t="str">
            <v xml:space="preserve">Fourniture et pose des  tuyaux en PPR 21/27 pour alimentation d'eau froide </v>
          </cell>
          <cell r="D157" t="str">
            <v>Ens.</v>
          </cell>
          <cell r="E157">
            <v>180000</v>
          </cell>
          <cell r="F157">
            <v>51.428571428571431</v>
          </cell>
        </row>
        <row r="158">
          <cell r="B158" t="str">
            <v>103-47</v>
          </cell>
          <cell r="C158" t="str">
            <v>Fourniture et pose des  tuyaux en PVC toutes diametres pour evacuation des eaux usées vers fosse septique et puisard</v>
          </cell>
          <cell r="D158" t="str">
            <v>Ens.</v>
          </cell>
          <cell r="E158">
            <v>170000</v>
          </cell>
          <cell r="F158">
            <v>48.571428571428569</v>
          </cell>
        </row>
        <row r="159">
          <cell r="B159" t="str">
            <v>103-48</v>
          </cell>
          <cell r="C159" t="str">
            <v>Raccordement électricité par cablage en fils isolés suspendus</v>
          </cell>
          <cell r="D159" t="str">
            <v>Ens.</v>
          </cell>
          <cell r="E159">
            <v>600000</v>
          </cell>
          <cell r="F159">
            <v>171.42857142857142</v>
          </cell>
        </row>
        <row r="161">
          <cell r="B161" t="str">
            <v>104</v>
          </cell>
          <cell r="C161" t="str">
            <v>Sécurisation des ouvrages</v>
          </cell>
        </row>
        <row r="162">
          <cell r="B162" t="str">
            <v>104-1</v>
          </cell>
          <cell r="C162" t="str">
            <v>Fourniture, façonnage et Fourniture et pose de clôture en bois dur</v>
          </cell>
          <cell r="D162" t="str">
            <v>ml</v>
          </cell>
          <cell r="E162">
            <v>44000</v>
          </cell>
          <cell r="F162">
            <v>12.571428571428571</v>
          </cell>
        </row>
        <row r="163">
          <cell r="B163" t="str">
            <v>104-2</v>
          </cell>
          <cell r="C163" t="str">
            <v>Clôture métallique H. 250 cm</v>
          </cell>
          <cell r="D163" t="str">
            <v>ml</v>
          </cell>
          <cell r="E163">
            <v>70000</v>
          </cell>
          <cell r="F163">
            <v>20</v>
          </cell>
        </row>
        <row r="164">
          <cell r="B164" t="str">
            <v>104-3</v>
          </cell>
          <cell r="C164" t="str">
            <v>Portail d'accès métallique 70x200</v>
          </cell>
          <cell r="D164" t="str">
            <v>ut</v>
          </cell>
          <cell r="E164">
            <v>420000</v>
          </cell>
          <cell r="F164">
            <v>120</v>
          </cell>
        </row>
        <row r="165">
          <cell r="B165" t="str">
            <v>104-4</v>
          </cell>
          <cell r="C165" t="str">
            <v>Portail d'accès en bois dur de  75x85, avec système de fermeture cadenassé</v>
          </cell>
          <cell r="D165" t="str">
            <v>ut</v>
          </cell>
          <cell r="E165">
            <v>85000</v>
          </cell>
          <cell r="F165">
            <v>24.285714285714285</v>
          </cell>
        </row>
        <row r="166">
          <cell r="B166" t="str">
            <v>104-5</v>
          </cell>
          <cell r="C166" t="str">
            <v>Portail métallique grillagé de 100x200 cm</v>
          </cell>
          <cell r="D166" t="str">
            <v>ut</v>
          </cell>
          <cell r="E166">
            <v>520000</v>
          </cell>
          <cell r="F166">
            <v>148.57142857142858</v>
          </cell>
        </row>
        <row r="167">
          <cell r="B167" t="str">
            <v>463-20</v>
          </cell>
          <cell r="C167" t="str">
            <v>Fourniture et pose système de fermeture pour regard de vanne</v>
          </cell>
          <cell r="D167" t="str">
            <v>U</v>
          </cell>
          <cell r="E167">
            <v>85000</v>
          </cell>
          <cell r="F167">
            <v>24.285714285714285</v>
          </cell>
        </row>
        <row r="168">
          <cell r="B168" t="str">
            <v>104-6</v>
          </cell>
          <cell r="C168" t="str">
            <v>Tapis de gravier</v>
          </cell>
          <cell r="D168" t="str">
            <v>m2</v>
          </cell>
          <cell r="E168">
            <v>23000</v>
          </cell>
          <cell r="F168">
            <v>6.5714285714285712</v>
          </cell>
        </row>
        <row r="169">
          <cell r="B169" t="str">
            <v>104-7</v>
          </cell>
          <cell r="C169" t="str">
            <v>Grille galvanisé de 20x20</v>
          </cell>
          <cell r="D169" t="str">
            <v>ut</v>
          </cell>
          <cell r="E169">
            <v>25000</v>
          </cell>
          <cell r="F169">
            <v>7.1428571428571432</v>
          </cell>
        </row>
        <row r="170">
          <cell r="B170" t="str">
            <v>104-8</v>
          </cell>
          <cell r="C170" t="str">
            <v>Clôture modèle barrière en bois dur raboté 4 faces, 3 traverses en bois carré 8x8, et panneau vertical largeur 12x1,5 (H: 1,00m) espace 10cm</v>
          </cell>
          <cell r="D170" t="str">
            <v>ml</v>
          </cell>
          <cell r="E170">
            <v>32500</v>
          </cell>
          <cell r="F170">
            <v>9.2857142857142865</v>
          </cell>
        </row>
        <row r="171">
          <cell r="B171" t="str">
            <v>104-9</v>
          </cell>
          <cell r="C171" t="str">
            <v>engazonement</v>
          </cell>
          <cell r="D171" t="str">
            <v>m2</v>
          </cell>
          <cell r="E171">
            <v>30000</v>
          </cell>
          <cell r="F171">
            <v>8.5714285714285712</v>
          </cell>
        </row>
        <row r="172">
          <cell r="B172" t="str">
            <v>100a</v>
          </cell>
          <cell r="C172" t="str">
            <v>SERIE 100a- EQUIPEMENT ELECTRO-MECANIQUE</v>
          </cell>
        </row>
        <row r="173">
          <cell r="B173" t="str">
            <v>100a-1</v>
          </cell>
          <cell r="C173" t="str">
            <v>Fourniture et pose de cablage électrique et toutes accessoires de mise en œuvre pour alimentation des pompes du central électrique</v>
          </cell>
          <cell r="D173" t="str">
            <v>FFT</v>
          </cell>
          <cell r="E173">
            <v>1200000</v>
          </cell>
          <cell r="F173">
            <v>342.85714285714283</v>
          </cell>
        </row>
        <row r="174">
          <cell r="B174" t="str">
            <v>100a-2</v>
          </cell>
          <cell r="C174" t="str">
            <v>Fourniture et pose de groupe électropompe immergée (GEPI) Q=15m3/h HMT=25m, (y compris: armoire de commande, tuyaux de refoulements et équipements électrique</v>
          </cell>
          <cell r="D174" t="str">
            <v>Ens.</v>
          </cell>
          <cell r="E174">
            <v>17500000</v>
          </cell>
          <cell r="F174">
            <v>5000</v>
          </cell>
        </row>
        <row r="175">
          <cell r="B175" t="str">
            <v>100a-3</v>
          </cell>
          <cell r="C175" t="str">
            <v>Fourniture et pose de groupe électropompe de surface (GEPS Q=10m3/h HMT=77m , (y compris: armoire de commande, tuyaux de refo ulements et équip ements électrique</v>
          </cell>
          <cell r="D175" t="str">
            <v>Ens.</v>
          </cell>
          <cell r="E175">
            <v>19800000</v>
          </cell>
          <cell r="F175">
            <v>5657.1428571428569</v>
          </cell>
        </row>
        <row r="176">
          <cell r="B176" t="str">
            <v>100a-4</v>
          </cell>
          <cell r="C176" t="str">
            <v>Fourniture et pose d'interrupteur flotteur y compris toutes accessoires de mise en œuvre</v>
          </cell>
          <cell r="D176" t="str">
            <v>u</v>
          </cell>
          <cell r="E176">
            <v>250000</v>
          </cell>
          <cell r="F176">
            <v>71.428571428571431</v>
          </cell>
        </row>
        <row r="177">
          <cell r="B177" t="str">
            <v>100a-5</v>
          </cell>
          <cell r="C177" t="str">
            <v xml:space="preserve">Fourniture et pose de groupe électrogène (20KVA) y compris </v>
          </cell>
          <cell r="D177" t="str">
            <v>FFT</v>
          </cell>
          <cell r="E177">
            <v>3450000</v>
          </cell>
          <cell r="F177">
            <v>985.71428571428567</v>
          </cell>
        </row>
        <row r="178">
          <cell r="B178" t="str">
            <v>100a-7</v>
          </cell>
          <cell r="C178" t="str">
            <v>Pompe doseuse volumétrique avec tous les accessoires</v>
          </cell>
          <cell r="D178" t="str">
            <v>Ens.</v>
          </cell>
          <cell r="E178">
            <v>0</v>
          </cell>
          <cell r="F178">
            <v>1250</v>
          </cell>
        </row>
        <row r="179">
          <cell r="B179" t="str">
            <v>100a-8</v>
          </cell>
          <cell r="C179" t="str">
            <v>Agitateur de la solution de chlore avec tous les accessoires</v>
          </cell>
          <cell r="D179" t="str">
            <v>Ens.</v>
          </cell>
          <cell r="E179">
            <v>0</v>
          </cell>
          <cell r="F179">
            <v>550</v>
          </cell>
        </row>
        <row r="181">
          <cell r="B181" t="str">
            <v>200</v>
          </cell>
          <cell r="C181" t="str">
            <v>SERIE 200 - MENUISERIE, PEINTURE</v>
          </cell>
        </row>
        <row r="183">
          <cell r="B183" t="str">
            <v>201</v>
          </cell>
          <cell r="C183" t="str">
            <v>Charpente et Menuiserie en bois</v>
          </cell>
        </row>
        <row r="184">
          <cell r="B184" t="str">
            <v>201-1</v>
          </cell>
          <cell r="C184" t="str">
            <v>Charpente en madrier de 6x16 cm</v>
          </cell>
          <cell r="D184" t="str">
            <v>m3</v>
          </cell>
          <cell r="E184">
            <v>1100000</v>
          </cell>
          <cell r="F184">
            <v>314.28571428571428</v>
          </cell>
        </row>
        <row r="185">
          <cell r="B185" t="str">
            <v>201-2</v>
          </cell>
          <cell r="C185" t="str">
            <v>Entretoise et blochet en bois carré de 6x6 cm</v>
          </cell>
          <cell r="D185" t="str">
            <v>m3</v>
          </cell>
          <cell r="E185">
            <v>1000000</v>
          </cell>
          <cell r="F185">
            <v>285.71428571428572</v>
          </cell>
        </row>
        <row r="186">
          <cell r="B186" t="str">
            <v>201-3</v>
          </cell>
          <cell r="C186" t="str">
            <v>Planche de rive de 20x3 cm</v>
          </cell>
          <cell r="D186" t="str">
            <v>ml</v>
          </cell>
          <cell r="E186">
            <v>19550</v>
          </cell>
          <cell r="F186">
            <v>5.5857142857142854</v>
          </cell>
        </row>
        <row r="187">
          <cell r="B187" t="str">
            <v>201-4</v>
          </cell>
          <cell r="C187" t="str">
            <v>Couverture en tôles ondulées galvanisées 63/100e</v>
          </cell>
          <cell r="D187" t="str">
            <v>m2</v>
          </cell>
          <cell r="E187">
            <v>64500</v>
          </cell>
          <cell r="F187">
            <v>18.428571428571427</v>
          </cell>
        </row>
        <row r="188">
          <cell r="B188" t="str">
            <v>201-5</v>
          </cell>
          <cell r="C188" t="str">
            <v>Plafond volige pin de 15x100 y compris gorge moulée 5x5 cm</v>
          </cell>
          <cell r="D188" t="str">
            <v>m2</v>
          </cell>
          <cell r="E188">
            <v>38500</v>
          </cell>
          <cell r="F188">
            <v>11</v>
          </cell>
        </row>
        <row r="189">
          <cell r="B189" t="str">
            <v>201-6</v>
          </cell>
          <cell r="C189" t="str">
            <v>Couverture en tôle galvanisée 63/100e</v>
          </cell>
          <cell r="D189" t="str">
            <v>m2</v>
          </cell>
          <cell r="E189">
            <v>64500</v>
          </cell>
          <cell r="F189">
            <v>18.428571428571427</v>
          </cell>
        </row>
        <row r="190">
          <cell r="B190" t="str">
            <v>201-7</v>
          </cell>
          <cell r="C190" t="str">
            <v xml:space="preserve">Chêneau en PVC compris accessoires de fixation </v>
          </cell>
          <cell r="D190" t="str">
            <v>ml</v>
          </cell>
          <cell r="E190">
            <v>56100</v>
          </cell>
          <cell r="F190">
            <v>16.028571428571428</v>
          </cell>
        </row>
        <row r="191">
          <cell r="B191" t="str">
            <v>201-8</v>
          </cell>
          <cell r="C191" t="str">
            <v xml:space="preserve">Descente d'eaux pluviales en PVC Ø 100mm </v>
          </cell>
          <cell r="D191" t="str">
            <v>ml</v>
          </cell>
          <cell r="E191">
            <v>45400</v>
          </cell>
          <cell r="F191">
            <v>12.971428571428572</v>
          </cell>
        </row>
        <row r="192">
          <cell r="B192" t="str">
            <v>201-9</v>
          </cell>
          <cell r="C192" t="str">
            <v>Conduite d'aération PVC DN100</v>
          </cell>
          <cell r="D192" t="str">
            <v>ml</v>
          </cell>
          <cell r="E192">
            <v>50200</v>
          </cell>
          <cell r="F192">
            <v>14.342857142857143</v>
          </cell>
        </row>
        <row r="193">
          <cell r="B193" t="str">
            <v>201-10</v>
          </cell>
          <cell r="C193" t="str">
            <v>Grillage en métal déployé y compris cadre en bois de 5x2 cm pour fixation</v>
          </cell>
          <cell r="D193" t="str">
            <v>m2</v>
          </cell>
          <cell r="F193">
            <v>0</v>
          </cell>
        </row>
        <row r="194">
          <cell r="B194" t="str">
            <v>201-11</v>
          </cell>
          <cell r="C194" t="str">
            <v>Grillage anti moustique y compris cadre en bois de 5x2 cm pour fixation</v>
          </cell>
          <cell r="D194" t="str">
            <v>m2</v>
          </cell>
          <cell r="F194">
            <v>0</v>
          </cell>
        </row>
        <row r="195">
          <cell r="B195" t="str">
            <v>201-12</v>
          </cell>
          <cell r="C195" t="str">
            <v>Porte pleine à 2 vantaux 180x220 cm</v>
          </cell>
          <cell r="D195" t="str">
            <v>U</v>
          </cell>
          <cell r="F195">
            <v>0</v>
          </cell>
        </row>
        <row r="196">
          <cell r="B196" t="str">
            <v>202-13'</v>
          </cell>
          <cell r="C196" t="str">
            <v>Porte pleine métallique à un vantail 70x210 cm</v>
          </cell>
          <cell r="D196" t="str">
            <v>U</v>
          </cell>
          <cell r="E196">
            <v>285000</v>
          </cell>
          <cell r="F196">
            <v>81.428571428571431</v>
          </cell>
        </row>
        <row r="197">
          <cell r="B197" t="str">
            <v>202-14</v>
          </cell>
          <cell r="C197" t="str">
            <v>Porte pleine métallique à un vantail 100x210 cm</v>
          </cell>
          <cell r="D197" t="str">
            <v>U</v>
          </cell>
          <cell r="E197">
            <v>320000</v>
          </cell>
          <cell r="F197">
            <v>91.428571428571431</v>
          </cell>
        </row>
        <row r="198">
          <cell r="B198" t="str">
            <v>201-15</v>
          </cell>
          <cell r="C198" t="str">
            <v>Volet plein à 2 vantaux 140x110 cm</v>
          </cell>
          <cell r="D198" t="str">
            <v>U</v>
          </cell>
          <cell r="E198">
            <v>320000</v>
          </cell>
          <cell r="F198">
            <v>91.428571428571431</v>
          </cell>
        </row>
        <row r="199">
          <cell r="B199" t="str">
            <v>202-16'</v>
          </cell>
          <cell r="C199" t="str">
            <v>Porte pleine métallique à un vantail 70x200 cm</v>
          </cell>
          <cell r="D199" t="str">
            <v>U</v>
          </cell>
          <cell r="E199">
            <v>245000</v>
          </cell>
          <cell r="F199">
            <v>70</v>
          </cell>
        </row>
        <row r="200">
          <cell r="B200" t="str">
            <v>201-17</v>
          </cell>
          <cell r="C200" t="str">
            <v>Fenêtre de 120x120 cm à 2 vantaux</v>
          </cell>
          <cell r="D200" t="str">
            <v>U</v>
          </cell>
          <cell r="F200">
            <v>0</v>
          </cell>
        </row>
        <row r="201">
          <cell r="B201" t="str">
            <v>201-18</v>
          </cell>
          <cell r="C201" t="str">
            <v>Fenêtre de 50x50 cm à 1 vantail</v>
          </cell>
          <cell r="D201" t="str">
            <v>U</v>
          </cell>
          <cell r="F201">
            <v>0</v>
          </cell>
        </row>
        <row r="202">
          <cell r="B202" t="str">
            <v>201-19</v>
          </cell>
          <cell r="C202" t="str">
            <v xml:space="preserve">Châssis vitré 100x100 cm à 2 vantaux </v>
          </cell>
          <cell r="D202" t="str">
            <v>U</v>
          </cell>
          <cell r="F202">
            <v>0</v>
          </cell>
        </row>
        <row r="203">
          <cell r="B203" t="str">
            <v>201-20</v>
          </cell>
          <cell r="C203" t="str">
            <v xml:space="preserve">Châssis vitré 140x120 cm à 2 vantaux </v>
          </cell>
          <cell r="D203" t="str">
            <v>U</v>
          </cell>
          <cell r="F203">
            <v>0</v>
          </cell>
        </row>
        <row r="204">
          <cell r="B204" t="str">
            <v>201-21</v>
          </cell>
          <cell r="C204" t="str">
            <v>Grille métallique  en fer TOR 12 de 0,40m de largeur cadre en fer cornière de 30*30*2, entraxe 3cm</v>
          </cell>
          <cell r="D204" t="str">
            <v>Ens</v>
          </cell>
          <cell r="E204">
            <v>185000</v>
          </cell>
          <cell r="F204">
            <v>52.857142857142854</v>
          </cell>
        </row>
        <row r="205">
          <cell r="B205" t="str">
            <v>201-22</v>
          </cell>
          <cell r="C205" t="str">
            <v xml:space="preserve">Clôture en planche en bois DUR raboté sur 4 faces de 10 x 2.5 cm espacement 5cm, ossature en bois carré en bois DUR de 7x7, </v>
          </cell>
          <cell r="D205" t="str">
            <v>ml</v>
          </cell>
          <cell r="E205">
            <v>33000</v>
          </cell>
          <cell r="F205">
            <v>9.4285714285714288</v>
          </cell>
        </row>
        <row r="206">
          <cell r="B206" t="str">
            <v>201-23</v>
          </cell>
          <cell r="C206" t="str">
            <v>Fourniture et pose  de grillage galvanisé de petites mailles , de dimension 0,20m x 0,40m</v>
          </cell>
          <cell r="D206" t="str">
            <v>U</v>
          </cell>
          <cell r="E206">
            <v>45000</v>
          </cell>
          <cell r="F206">
            <v>12.857142857142858</v>
          </cell>
        </row>
        <row r="207">
          <cell r="B207" t="str">
            <v>201-24</v>
          </cell>
          <cell r="C207" t="str">
            <v>Fourniture et pose  de fer U 100/50/5 de 1,60m scellé dans le corps du barrage</v>
          </cell>
          <cell r="D207" t="str">
            <v>Ens</v>
          </cell>
          <cell r="E207">
            <v>185000</v>
          </cell>
          <cell r="F207">
            <v>52.857142857142854</v>
          </cell>
        </row>
        <row r="208">
          <cell r="B208" t="str">
            <v>201-25</v>
          </cell>
          <cell r="C208" t="str">
            <v>Charpente non assemblée en bois dur du pays, 4 faces corroyées</v>
          </cell>
          <cell r="D208" t="str">
            <v>m3</v>
          </cell>
          <cell r="E208">
            <v>1280000</v>
          </cell>
          <cell r="F208">
            <v>365.71428571428572</v>
          </cell>
        </row>
        <row r="209">
          <cell r="B209" t="str">
            <v>201-26</v>
          </cell>
          <cell r="C209" t="str">
            <v>Fourniture et pose  de grillage galvanisé de petites mailles , de dimension 0,20m x 0,40m</v>
          </cell>
          <cell r="E209">
            <v>45000</v>
          </cell>
          <cell r="F209">
            <v>12.857142857142858</v>
          </cell>
        </row>
        <row r="210">
          <cell r="B210" t="str">
            <v>201-27</v>
          </cell>
          <cell r="C210" t="str">
            <v>Fourniture et pose  de fer U 100/50/5 de 1,60m scellé dans le corps du barrage</v>
          </cell>
          <cell r="E210">
            <v>185000</v>
          </cell>
          <cell r="F210">
            <v>52.857142857142854</v>
          </cell>
        </row>
        <row r="211">
          <cell r="B211" t="str">
            <v>201-28</v>
          </cell>
          <cell r="C211" t="str">
            <v xml:space="preserve"> - Porte en bois dur à un vantail en panneau  de 0,80x2,10</v>
          </cell>
          <cell r="D211" t="str">
            <v>U</v>
          </cell>
          <cell r="E211">
            <v>480360</v>
          </cell>
          <cell r="F211">
            <v>137.24571428571429</v>
          </cell>
        </row>
        <row r="212">
          <cell r="B212" t="str">
            <v>201-29</v>
          </cell>
          <cell r="C212" t="str">
            <v xml:space="preserve"> - Porte metallique à 2 vantaux en panneau  de 1,20x2,10</v>
          </cell>
          <cell r="D212" t="str">
            <v>U</v>
          </cell>
          <cell r="E212">
            <v>886740</v>
          </cell>
          <cell r="F212">
            <v>253.35428571428571</v>
          </cell>
        </row>
        <row r="213">
          <cell r="B213" t="str">
            <v>201-30</v>
          </cell>
          <cell r="C213" t="str">
            <v>Charpente assemblée ou non assemblée en bois dur local traité, et sujétion</v>
          </cell>
          <cell r="D213" t="str">
            <v>m3</v>
          </cell>
          <cell r="E213">
            <v>985600</v>
          </cell>
          <cell r="F213">
            <v>281.60000000000002</v>
          </cell>
        </row>
        <row r="214">
          <cell r="B214" t="str">
            <v>201-31</v>
          </cell>
          <cell r="C214" t="str">
            <v>Fourniture et pose de planche de rive en bois dur local, et sujetions</v>
          </cell>
          <cell r="D214" t="str">
            <v>m2</v>
          </cell>
          <cell r="E214">
            <v>12400</v>
          </cell>
          <cell r="F214">
            <v>3.5428571428571427</v>
          </cell>
        </row>
        <row r="215">
          <cell r="B215" t="str">
            <v>201-32</v>
          </cell>
          <cell r="C215" t="str">
            <v>Fourniture et pose de plafond en volige et sujétions particulières</v>
          </cell>
          <cell r="D215" t="str">
            <v>m2</v>
          </cell>
          <cell r="E215">
            <v>35100</v>
          </cell>
          <cell r="F215">
            <v>10.028571428571428</v>
          </cell>
        </row>
        <row r="216">
          <cell r="B216" t="str">
            <v>201-33</v>
          </cell>
          <cell r="C216" t="str">
            <v>Bois rond</v>
          </cell>
          <cell r="D216" t="str">
            <v>U</v>
          </cell>
          <cell r="E216">
            <v>6760</v>
          </cell>
          <cell r="F216">
            <v>1.9314285714285715</v>
          </cell>
        </row>
        <row r="218">
          <cell r="B218" t="str">
            <v>202</v>
          </cell>
          <cell r="C218" t="str">
            <v>Menuiserie métallique</v>
          </cell>
        </row>
        <row r="219">
          <cell r="B219" t="str">
            <v>202-1</v>
          </cell>
          <cell r="C219" t="str">
            <v>Porte pleine métallique de 200x210 cm à 2 vantaux</v>
          </cell>
          <cell r="D219" t="str">
            <v>U</v>
          </cell>
          <cell r="E219">
            <v>206999.99999999997</v>
          </cell>
          <cell r="F219">
            <v>59.142857142857132</v>
          </cell>
        </row>
        <row r="220">
          <cell r="B220" t="str">
            <v>202-2</v>
          </cell>
          <cell r="C220" t="str">
            <v>Porte pleine métallique de 80x210 cm vec cadre et bâti en fer cornière 35/35/4 et 2/3 de panneau en TPN 15/10, 1/3 grillé en  fer tor 10 espacé de 5 cm, y compris pattes à scellement, paumelles 140, tirette et 2 serrures de surêté type vachette , application d'anti-rouille.</v>
          </cell>
          <cell r="D220" t="str">
            <v>U</v>
          </cell>
          <cell r="E220">
            <v>373125</v>
          </cell>
          <cell r="F220">
            <v>106.60714285714286</v>
          </cell>
        </row>
        <row r="221">
          <cell r="B221" t="str">
            <v>202-3</v>
          </cell>
          <cell r="C221" t="str">
            <v>Porte pleine métallique de 80x100 cm</v>
          </cell>
          <cell r="D221" t="str">
            <v>U</v>
          </cell>
          <cell r="E221">
            <v>180000</v>
          </cell>
          <cell r="F221">
            <v>51.428571428571431</v>
          </cell>
        </row>
        <row r="222">
          <cell r="B222" t="str">
            <v>202-4</v>
          </cell>
          <cell r="C222" t="str">
            <v>Fenêtre pleine métallique de 100x100 cm à 2 vantaux</v>
          </cell>
          <cell r="D222" t="str">
            <v>U</v>
          </cell>
          <cell r="E222">
            <v>216000</v>
          </cell>
          <cell r="F222">
            <v>61.714285714285715</v>
          </cell>
        </row>
        <row r="223">
          <cell r="B223" t="str">
            <v>202-5</v>
          </cell>
          <cell r="C223" t="str">
            <v>Fourniture métallique diverse (grille, clous, fer ….)</v>
          </cell>
          <cell r="D223" t="str">
            <v>Kg</v>
          </cell>
          <cell r="E223">
            <v>13000</v>
          </cell>
          <cell r="F223">
            <v>3.7142857142857144</v>
          </cell>
        </row>
        <row r="224">
          <cell r="B224" t="str">
            <v>202-6</v>
          </cell>
          <cell r="C224" t="str">
            <v>Fourniture  d'échelle en aluminium de largeur 0,40m et de longueur</v>
          </cell>
          <cell r="D224" t="str">
            <v>ml</v>
          </cell>
          <cell r="E224">
            <v>117000</v>
          </cell>
          <cell r="F224">
            <v>33.428571428571431</v>
          </cell>
        </row>
        <row r="225">
          <cell r="B225" t="str">
            <v>202-7</v>
          </cell>
          <cell r="C225" t="str">
            <v>Trappe d'accés métallique 80x80 avec serrure cadenassé</v>
          </cell>
          <cell r="D225" t="str">
            <v>U</v>
          </cell>
          <cell r="E225">
            <v>115000</v>
          </cell>
          <cell r="F225">
            <v>32.857142857142854</v>
          </cell>
        </row>
        <row r="226">
          <cell r="B226" t="str">
            <v>202-7'</v>
          </cell>
          <cell r="C226" t="str">
            <v>Trappe de visite a dalle de couverture en BA avec serrure metallique cadenassé</v>
          </cell>
          <cell r="D226" t="str">
            <v>Ens.</v>
          </cell>
          <cell r="E226">
            <v>170000</v>
          </cell>
          <cell r="F226">
            <v>48.571428571428569</v>
          </cell>
        </row>
        <row r="227">
          <cell r="B227" t="str">
            <v>202-8</v>
          </cell>
          <cell r="C227" t="str">
            <v xml:space="preserve">Descente d'eaux pluviales en PVC Ø 100mm </v>
          </cell>
          <cell r="D227" t="str">
            <v>ml</v>
          </cell>
          <cell r="E227">
            <v>45400</v>
          </cell>
          <cell r="F227">
            <v>12.971428571428572</v>
          </cell>
        </row>
        <row r="228">
          <cell r="B228" t="str">
            <v>202-9</v>
          </cell>
          <cell r="C228" t="str">
            <v>Cadenas</v>
          </cell>
          <cell r="D228" t="str">
            <v>U</v>
          </cell>
          <cell r="E228">
            <v>16000</v>
          </cell>
          <cell r="F228">
            <v>4.5714285714285712</v>
          </cell>
        </row>
        <row r="229">
          <cell r="B229" t="str">
            <v>202-10</v>
          </cell>
          <cell r="C229" t="str">
            <v>Charnière</v>
          </cell>
          <cell r="D229" t="str">
            <v>Paire</v>
          </cell>
          <cell r="E229">
            <v>10850</v>
          </cell>
          <cell r="F229">
            <v>3.1</v>
          </cell>
        </row>
        <row r="230">
          <cell r="B230" t="str">
            <v>202-11</v>
          </cell>
          <cell r="C230" t="str">
            <v>Porte cadenas</v>
          </cell>
          <cell r="D230" t="str">
            <v>U</v>
          </cell>
          <cell r="E230">
            <v>12000</v>
          </cell>
          <cell r="F230">
            <v>3.4285714285714284</v>
          </cell>
        </row>
        <row r="231">
          <cell r="B231" t="str">
            <v>202-12</v>
          </cell>
          <cell r="C231" t="str">
            <v>Grille en acier galvanisé de 30x20 de cadre en fer cornière de 25x25x2, application d'anti-rouille</v>
          </cell>
          <cell r="D231" t="str">
            <v>U</v>
          </cell>
          <cell r="E231">
            <v>98000</v>
          </cell>
          <cell r="F231">
            <v>28</v>
          </cell>
        </row>
        <row r="232">
          <cell r="B232" t="str">
            <v>202-13</v>
          </cell>
          <cell r="C232" t="str">
            <v>Grille en acier galvanisé de 20x20 de cadre en fer cornière de 25x25x2, application d'anti-rouille</v>
          </cell>
          <cell r="D232" t="str">
            <v>U</v>
          </cell>
          <cell r="E232">
            <v>78000</v>
          </cell>
          <cell r="F232">
            <v>22.285714285714285</v>
          </cell>
        </row>
        <row r="233">
          <cell r="B233" t="str">
            <v>202-14</v>
          </cell>
          <cell r="C233" t="str">
            <v xml:space="preserve">Grille métallique en cadre L 50 x 50 avec fer rond  Ф12 pour Fourniture et pose seau de dimension 50 x 50 </v>
          </cell>
          <cell r="D233" t="str">
            <v>Ens.</v>
          </cell>
          <cell r="E233">
            <v>125500</v>
          </cell>
          <cell r="F233">
            <v>35.857142857142854</v>
          </cell>
        </row>
        <row r="234">
          <cell r="B234" t="str">
            <v>202-15</v>
          </cell>
          <cell r="C234" t="str">
            <v>Grille métallique en cadre L 200 x 30 avec fer rond  Ф12 pour couvercle canniveau</v>
          </cell>
          <cell r="D234" t="str">
            <v>Ens.</v>
          </cell>
          <cell r="E234">
            <v>189000</v>
          </cell>
          <cell r="F234">
            <v>54</v>
          </cell>
        </row>
        <row r="235">
          <cell r="B235" t="str">
            <v>202-16</v>
          </cell>
          <cell r="C235" t="str">
            <v>Fourniture métallique diverse (système de fermeture, ...)</v>
          </cell>
          <cell r="D235" t="str">
            <v>Kg</v>
          </cell>
          <cell r="E235">
            <v>14800</v>
          </cell>
          <cell r="F235">
            <v>4.2285714285714286</v>
          </cell>
        </row>
        <row r="236">
          <cell r="B236" t="str">
            <v>202-17</v>
          </cell>
          <cell r="C236" t="str">
            <v>Echelle en aluminium démontable de largeur 0,40m</v>
          </cell>
          <cell r="D236" t="str">
            <v>ml</v>
          </cell>
          <cell r="E236">
            <v>125500</v>
          </cell>
          <cell r="F236">
            <v>35.857142857142854</v>
          </cell>
        </row>
        <row r="237">
          <cell r="B237" t="str">
            <v>202-17'</v>
          </cell>
          <cell r="C237" t="str">
            <v>Echelle métallique de 0,40m encastré dans le béton, y compris anti-rouille</v>
          </cell>
          <cell r="D237" t="str">
            <v>ml</v>
          </cell>
          <cell r="E237">
            <v>47500</v>
          </cell>
          <cell r="F237">
            <v>13.571428571428571</v>
          </cell>
        </row>
        <row r="238">
          <cell r="B238" t="str">
            <v>202-18</v>
          </cell>
          <cell r="C238" t="str">
            <v>Trappe d'accés métallique 40x40 avec serrure Cadenassé</v>
          </cell>
          <cell r="D238" t="str">
            <v>U</v>
          </cell>
          <cell r="E238">
            <v>98000</v>
          </cell>
          <cell r="F238">
            <v>28</v>
          </cell>
        </row>
        <row r="239">
          <cell r="B239" t="str">
            <v>202-19'</v>
          </cell>
          <cell r="C239" t="str">
            <v>Fourniture et pose portail metallique à un vantail de dimension 0,70 x 2,0 avec cadre et bâti en fer cornière 35/35/4 et 2/3 de panneau en TPN 15/10, 1/3 grillé en  fer tor 10 espacé de 5 cm, y compris pattes à scellement, paumelles 140, 2 cadenas de sureté</v>
          </cell>
          <cell r="D239" t="str">
            <v>U</v>
          </cell>
          <cell r="E239">
            <v>500000</v>
          </cell>
          <cell r="F239">
            <v>142.85714285714286</v>
          </cell>
        </row>
        <row r="240">
          <cell r="B240" t="str">
            <v>202-19</v>
          </cell>
          <cell r="C240" t="str">
            <v>Fourniture et pose portail metallique à un vantail de dimension 0,80 x 2,10 avec cadre et bâti en fer cornière 35/35/4 et 2/3 de panneau en TPN 15/10, 1/3 grillé en  fer tor 10 espacé de 5 cm, y compris pattes à scellement, paumelles 140, 2 cadenas de sureté</v>
          </cell>
          <cell r="D240" t="str">
            <v>U</v>
          </cell>
          <cell r="E240">
            <v>520000</v>
          </cell>
          <cell r="F240">
            <v>148.57142857142858</v>
          </cell>
        </row>
        <row r="241">
          <cell r="B241" t="str">
            <v>202-20</v>
          </cell>
          <cell r="C241" t="str">
            <v>Fourniture et pose grille de protection de dimension 0,80x0,90 avec cadre en fer cornière 35/35/4 et motif en tube carrée de 20x20 espacé de 15cm, y compris pattes à scellement,  , application d'anti-rouille.</v>
          </cell>
          <cell r="D241" t="str">
            <v>U</v>
          </cell>
          <cell r="E241">
            <v>450000</v>
          </cell>
          <cell r="F241">
            <v>128.57142857142858</v>
          </cell>
        </row>
        <row r="242">
          <cell r="B242" t="str">
            <v>202-21</v>
          </cell>
          <cell r="C242" t="str">
            <v>Grille métallique  en fer TOR 12 de 0,40m de largeur cadre en fer cornière de 30*30*2, entraxe 3cm</v>
          </cell>
          <cell r="D242" t="str">
            <v>U</v>
          </cell>
          <cell r="E242">
            <v>185000</v>
          </cell>
          <cell r="F242">
            <v>52.857142857142854</v>
          </cell>
        </row>
        <row r="243">
          <cell r="B243" t="str">
            <v>202-26</v>
          </cell>
          <cell r="C243" t="str">
            <v>Fourniture et pose plaque technique y compris toute accessoire de sujetions</v>
          </cell>
          <cell r="D243" t="str">
            <v>U</v>
          </cell>
          <cell r="E243">
            <v>175000</v>
          </cell>
          <cell r="F243">
            <v>50</v>
          </cell>
        </row>
        <row r="244">
          <cell r="B244" t="str">
            <v>202-27f</v>
          </cell>
          <cell r="C244" t="str">
            <v>Fourniture plaque de visibilité</v>
          </cell>
          <cell r="D244" t="str">
            <v>U</v>
          </cell>
          <cell r="E244">
            <v>125000</v>
          </cell>
          <cell r="F244">
            <v>35.714285714285715</v>
          </cell>
        </row>
        <row r="245">
          <cell r="B245" t="str">
            <v>202-27p</v>
          </cell>
          <cell r="C245" t="str">
            <v>Fourniture et pose plaque de visibilité</v>
          </cell>
          <cell r="D245" t="str">
            <v>U</v>
          </cell>
          <cell r="E245">
            <v>15000</v>
          </cell>
          <cell r="F245">
            <v>4.2857142857142856</v>
          </cell>
        </row>
        <row r="246">
          <cell r="B246" t="str">
            <v>202-26"</v>
          </cell>
          <cell r="C246" t="str">
            <v>Porte à métallique à deux vantaux 1/3 pleine en TPN diamenté d'ép. 15/10è,a partie haute grillagée gantois à petite maille ; avec cadre, montant, traverse et bati en fer cornière, y compris toute quincaillerie 1,20 x 2,10</v>
          </cell>
          <cell r="D246" t="str">
            <v>U</v>
          </cell>
          <cell r="E246">
            <v>380982</v>
          </cell>
          <cell r="F246">
            <v>108.852</v>
          </cell>
        </row>
        <row r="247">
          <cell r="B247" t="str">
            <v>202-28</v>
          </cell>
          <cell r="C247" t="str">
            <v>Fourniture et pose de couverture en TOG 50/100ème, y compris solin en TPG40/100ème</v>
          </cell>
          <cell r="D247" t="str">
            <v>ml</v>
          </cell>
          <cell r="E247">
            <v>97760</v>
          </cell>
          <cell r="F247">
            <v>27.931428571428572</v>
          </cell>
        </row>
        <row r="248">
          <cell r="B248" t="str">
            <v>202-29</v>
          </cell>
          <cell r="C248" t="str">
            <v>Fourniture et pose de gouttière en zinc, y compris fixations et toutes autre sujétions particulières</v>
          </cell>
          <cell r="D248" t="str">
            <v>ml</v>
          </cell>
          <cell r="E248">
            <v>14500</v>
          </cell>
          <cell r="F248">
            <v>4.1428571428571432</v>
          </cell>
        </row>
        <row r="249">
          <cell r="B249" t="str">
            <v>202-30</v>
          </cell>
          <cell r="C249" t="str">
            <v>Fourniture et pose de descente d'eau en PVC diam100 y compris toutes sujétions particulières</v>
          </cell>
          <cell r="D249" t="str">
            <v>ml</v>
          </cell>
          <cell r="E249">
            <v>16700</v>
          </cell>
          <cell r="F249">
            <v>4.7714285714285714</v>
          </cell>
        </row>
        <row r="250">
          <cell r="B250" t="str">
            <v>202-30</v>
          </cell>
          <cell r="C250" t="str">
            <v>Garde de corps métallique en tube rond galvanisé de diamètre 5 cm</v>
          </cell>
          <cell r="D250" t="str">
            <v>ml</v>
          </cell>
          <cell r="E250">
            <v>35000</v>
          </cell>
          <cell r="F250">
            <v>10</v>
          </cell>
        </row>
        <row r="251">
          <cell r="B251" t="str">
            <v>202-30'</v>
          </cell>
          <cell r="C251" t="str">
            <v>Main courante métallique en tube rond galvanisé de diamètre 5 cm pour handicapés</v>
          </cell>
          <cell r="D251" t="str">
            <v>ml</v>
          </cell>
          <cell r="E251">
            <v>35000</v>
          </cell>
          <cell r="F251">
            <v>10</v>
          </cell>
        </row>
        <row r="252">
          <cell r="B252" t="str">
            <v>202-31</v>
          </cell>
          <cell r="C252" t="str">
            <v>Naco 60x40</v>
          </cell>
          <cell r="D252" t="str">
            <v>U</v>
          </cell>
          <cell r="E252">
            <v>100000</v>
          </cell>
        </row>
        <row r="253">
          <cell r="B253" t="str">
            <v>202-32</v>
          </cell>
          <cell r="C253" t="str">
            <v>Aération haute en plastique de type Nicole 15x15</v>
          </cell>
          <cell r="D253" t="str">
            <v>U</v>
          </cell>
          <cell r="E253">
            <v>20000</v>
          </cell>
        </row>
        <row r="254">
          <cell r="B254" t="str">
            <v>202-33</v>
          </cell>
          <cell r="C254" t="str">
            <v>Couverture en tole Galvabac Prélaqué 63/100</v>
          </cell>
          <cell r="D254" t="str">
            <v>m2</v>
          </cell>
          <cell r="E254">
            <v>30000</v>
          </cell>
        </row>
        <row r="255">
          <cell r="B255" t="str">
            <v>202-34</v>
          </cell>
          <cell r="C255" t="str">
            <v>Solin en tole plane prélaqué 63/100</v>
          </cell>
          <cell r="D255" t="str">
            <v>ml</v>
          </cell>
        </row>
        <row r="256">
          <cell r="B256" t="str">
            <v>202-35</v>
          </cell>
          <cell r="C256" t="str">
            <v>Gouttiere PVC</v>
          </cell>
          <cell r="D256" t="str">
            <v>ml</v>
          </cell>
          <cell r="E256">
            <v>250000</v>
          </cell>
        </row>
        <row r="257">
          <cell r="B257" t="str">
            <v>203</v>
          </cell>
          <cell r="C257" t="str">
            <v>Peinture</v>
          </cell>
        </row>
        <row r="258">
          <cell r="B258" t="str">
            <v>203-1</v>
          </cell>
          <cell r="C258" t="str">
            <v>Badigeonnage à la chaux grasse appliquée en 2 couches pour couche d'impression</v>
          </cell>
          <cell r="D258" t="str">
            <v>m2</v>
          </cell>
          <cell r="E258">
            <v>2060</v>
          </cell>
          <cell r="F258">
            <v>0.58857142857142852</v>
          </cell>
        </row>
        <row r="259">
          <cell r="B259" t="str">
            <v>203-2</v>
          </cell>
          <cell r="C259" t="str">
            <v xml:space="preserve">Peinture à l'huile appliquée en 2 couches </v>
          </cell>
          <cell r="D259" t="str">
            <v>m2</v>
          </cell>
          <cell r="E259">
            <v>9290</v>
          </cell>
          <cell r="F259">
            <v>2.6542857142857144</v>
          </cell>
        </row>
        <row r="260">
          <cell r="B260" t="str">
            <v>203-3</v>
          </cell>
          <cell r="C260" t="str">
            <v>Peinture glycérophtalique appliquée en 2 couches avec impression anti-rouille y compris tous travaux préparatoires de la surface à peindre</v>
          </cell>
          <cell r="D260" t="str">
            <v>m2</v>
          </cell>
          <cell r="E260">
            <v>9850</v>
          </cell>
          <cell r="F260">
            <v>2.8142857142857145</v>
          </cell>
        </row>
        <row r="261">
          <cell r="B261" t="str">
            <v>203-4</v>
          </cell>
          <cell r="C261" t="str">
            <v>Peinture vinylique appliquée en 2 couches sur couche d'impression y compris tous travaux préparatoires de la surface à peindre</v>
          </cell>
          <cell r="D261" t="str">
            <v>m2</v>
          </cell>
          <cell r="E261">
            <v>8520</v>
          </cell>
          <cell r="F261">
            <v>2.4342857142857142</v>
          </cell>
        </row>
        <row r="262">
          <cell r="B262" t="str">
            <v>203-4'</v>
          </cell>
          <cell r="C262" t="str">
            <v>Peinture plastique appliquée en 2 couches sur couche d'impression y compris tous travaux préparatoires de la surface à peindre</v>
          </cell>
          <cell r="D262" t="str">
            <v>m2</v>
          </cell>
          <cell r="E262">
            <v>18000</v>
          </cell>
          <cell r="F262">
            <v>5.1428571428571432</v>
          </cell>
        </row>
        <row r="263">
          <cell r="B263" t="str">
            <v>203-5</v>
          </cell>
          <cell r="C263" t="str">
            <v>Application de SIKATOP en 2 couches, pour étanchéité et peinture y compris tous travaux préparatoires de la surface à peindre</v>
          </cell>
          <cell r="D263" t="str">
            <v>m2</v>
          </cell>
          <cell r="E263">
            <v>20566</v>
          </cell>
          <cell r="F263">
            <v>5.8760000000000003</v>
          </cell>
        </row>
        <row r="264">
          <cell r="B264" t="str">
            <v>203-6</v>
          </cell>
          <cell r="C264" t="str">
            <v>Peinture à l'huile blanche</v>
          </cell>
          <cell r="D264" t="str">
            <v>m2</v>
          </cell>
          <cell r="E264">
            <v>9100</v>
          </cell>
          <cell r="F264">
            <v>2.6</v>
          </cell>
        </row>
        <row r="265">
          <cell r="B265" t="str">
            <v>203-7</v>
          </cell>
          <cell r="C265" t="str">
            <v>Peinture à l'huile bleu</v>
          </cell>
          <cell r="D265" t="str">
            <v>m2</v>
          </cell>
          <cell r="E265">
            <v>9700</v>
          </cell>
          <cell r="F265">
            <v>2.7714285714285714</v>
          </cell>
        </row>
        <row r="266">
          <cell r="B266" t="str">
            <v>203-8</v>
          </cell>
          <cell r="C266" t="str">
            <v>White spirit</v>
          </cell>
          <cell r="D266" t="str">
            <v>L</v>
          </cell>
          <cell r="E266">
            <v>6760</v>
          </cell>
          <cell r="F266">
            <v>1.9314285714285715</v>
          </cell>
        </row>
        <row r="268">
          <cell r="B268" t="str">
            <v>204</v>
          </cell>
          <cell r="C268" t="str">
            <v>Vitrerie</v>
          </cell>
        </row>
        <row r="269">
          <cell r="B269" t="str">
            <v>204-1</v>
          </cell>
          <cell r="C269" t="str">
            <v>Verre à vitre  double de 4 mm d'épaisseur y compris pare close en bois</v>
          </cell>
          <cell r="D269" t="str">
            <v>m2</v>
          </cell>
          <cell r="E269">
            <v>66250</v>
          </cell>
          <cell r="F269">
            <v>18.928571428571427</v>
          </cell>
        </row>
        <row r="271">
          <cell r="B271">
            <v>205</v>
          </cell>
          <cell r="C271" t="str">
            <v>Charpente - couverture - plafonnage</v>
          </cell>
        </row>
        <row r="272">
          <cell r="B272" t="str">
            <v>205-1</v>
          </cell>
          <cell r="C272" t="str">
            <v>-Charpente non assemblée en bois dur du pays, 4 faces corroyées</v>
          </cell>
          <cell r="D272" t="str">
            <v>m3</v>
          </cell>
          <cell r="E272">
            <v>1100000</v>
          </cell>
          <cell r="F272">
            <v>314.28571428571428</v>
          </cell>
        </row>
        <row r="273">
          <cell r="B273" t="str">
            <v>205-1"</v>
          </cell>
          <cell r="C273" t="str">
            <v>Charpente assemblée en bois dur du pays, 4 faces corroyées</v>
          </cell>
          <cell r="D273" t="str">
            <v>m3</v>
          </cell>
          <cell r="E273">
            <v>1500000</v>
          </cell>
          <cell r="F273">
            <v>428.57142857142856</v>
          </cell>
        </row>
        <row r="274">
          <cell r="B274" t="str">
            <v>205-2</v>
          </cell>
          <cell r="C274" t="str">
            <v xml:space="preserve"> - Charpente non assemblée en bois dur du pays, rabotée en 4 faces, y compris toutes accessoires entretoise en bois carré de 6x6</v>
          </cell>
          <cell r="D274" t="str">
            <v>m3</v>
          </cell>
          <cell r="E274">
            <v>525000</v>
          </cell>
          <cell r="F274">
            <v>150</v>
          </cell>
        </row>
        <row r="275">
          <cell r="B275" t="str">
            <v>205-3</v>
          </cell>
          <cell r="C275" t="str">
            <v xml:space="preserve"> - Fourniture et pose de plafond en volige pin de 15 x 100, y compris gorge en bois moulurée de dimension 5 x 5</v>
          </cell>
          <cell r="D275" t="str">
            <v>m2</v>
          </cell>
          <cell r="E275">
            <v>54000</v>
          </cell>
          <cell r="F275">
            <v>15.428571428571429</v>
          </cell>
        </row>
        <row r="276">
          <cell r="B276" t="str">
            <v>205-4</v>
          </cell>
          <cell r="C276" t="str">
            <v>- Fourniture et pose de couverture en tôle ondulée galvanisée 63/100è, y compris clou cranté, cale d'onde, cavalier, rondelle bitumée, rondelle d'écrou</v>
          </cell>
          <cell r="D276" t="str">
            <v>m2</v>
          </cell>
          <cell r="E276">
            <v>79500</v>
          </cell>
          <cell r="F276">
            <v>22.714285714285715</v>
          </cell>
        </row>
        <row r="277">
          <cell r="B277" t="str">
            <v>205-5</v>
          </cell>
          <cell r="C277" t="str">
            <v xml:space="preserve"> - Fourniture et pose de planche de rive  de hauteur 0,20m  d'ep:3,0cm y compris  fixation  et toutes accessoires de pose</v>
          </cell>
          <cell r="D277" t="str">
            <v>ml</v>
          </cell>
          <cell r="E277">
            <v>12750</v>
          </cell>
          <cell r="F277">
            <v>3.6428571428571428</v>
          </cell>
        </row>
        <row r="278">
          <cell r="B278" t="str">
            <v>205-6</v>
          </cell>
          <cell r="C278" t="str">
            <v xml:space="preserve"> - Fourniture et pose de conduite d'aération en PVC 100 y compris  fixation et chapeau d'aération </v>
          </cell>
          <cell r="D278" t="str">
            <v>ml</v>
          </cell>
          <cell r="E278">
            <v>87450</v>
          </cell>
          <cell r="F278">
            <v>24.985714285714284</v>
          </cell>
        </row>
        <row r="279">
          <cell r="B279" t="str">
            <v>205-7</v>
          </cell>
          <cell r="C279" t="str">
            <v>Planche de rive en bois dur du pays,</v>
          </cell>
          <cell r="D279" t="str">
            <v>ml</v>
          </cell>
          <cell r="E279">
            <v>8000</v>
          </cell>
          <cell r="F279">
            <v>2.2857142857142856</v>
          </cell>
        </row>
        <row r="280">
          <cell r="B280" t="str">
            <v>205-10</v>
          </cell>
          <cell r="C280" t="str">
            <v>Fourniture et pose de couverture en TOG  50/100</v>
          </cell>
          <cell r="D280" t="str">
            <v>m2</v>
          </cell>
          <cell r="E280">
            <v>55000</v>
          </cell>
          <cell r="F280">
            <v>15.714285714285714</v>
          </cell>
        </row>
        <row r="281">
          <cell r="B281" t="str">
            <v>205-11</v>
          </cell>
          <cell r="C281" t="str">
            <v>Faitière en TPG 50/100è</v>
          </cell>
          <cell r="D281" t="str">
            <v>ml</v>
          </cell>
          <cell r="E281">
            <v>13510</v>
          </cell>
          <cell r="F281">
            <v>3.86</v>
          </cell>
        </row>
        <row r="282">
          <cell r="B282" t="str">
            <v>205-12</v>
          </cell>
          <cell r="C282" t="str">
            <v>Solin en tole plane prélaqué 63/100</v>
          </cell>
          <cell r="D282" t="str">
            <v>ml</v>
          </cell>
          <cell r="E282">
            <v>25000</v>
          </cell>
          <cell r="F282">
            <v>7.1428571428571432</v>
          </cell>
        </row>
        <row r="284">
          <cell r="B284" t="str">
            <v>300</v>
          </cell>
          <cell r="C284" t="str">
            <v>SERIE 300 - EQUIPEMENTS ELECTROMECANIQUES</v>
          </cell>
        </row>
        <row r="286">
          <cell r="B286" t="str">
            <v>301</v>
          </cell>
          <cell r="C286" t="str">
            <v>Fourniture de la Pompe electrique</v>
          </cell>
        </row>
        <row r="287">
          <cell r="B287" t="str">
            <v>301-1</v>
          </cell>
          <cell r="C287" t="str">
            <v>Fourniture et pose de pompe immergé Q=1,5m3/h HMT= 72m</v>
          </cell>
          <cell r="D287" t="str">
            <v>Ens.</v>
          </cell>
          <cell r="E287">
            <v>5000000</v>
          </cell>
          <cell r="F287">
            <v>14320</v>
          </cell>
        </row>
        <row r="288">
          <cell r="B288" t="str">
            <v>301-1a</v>
          </cell>
          <cell r="C288" t="str">
            <v>Fourniture et pose de cablage électrique et toutes accessoires de mise en œuvre pour alimentation des pompes du central électrique</v>
          </cell>
          <cell r="D288" t="str">
            <v>FFT</v>
          </cell>
          <cell r="E288">
            <v>1200000</v>
          </cell>
          <cell r="F288">
            <v>342.85714285714283</v>
          </cell>
        </row>
        <row r="289">
          <cell r="B289" t="str">
            <v>301-06</v>
          </cell>
          <cell r="C289" t="str">
            <v>Fourniture et pose de pompe de surface et alimentation solaire Q=110m3/j HMT= 90m</v>
          </cell>
          <cell r="D289" t="str">
            <v>Ens.</v>
          </cell>
          <cell r="E289">
            <v>94852800</v>
          </cell>
          <cell r="F289">
            <v>22584</v>
          </cell>
        </row>
        <row r="290">
          <cell r="B290" t="str">
            <v>301-02</v>
          </cell>
          <cell r="C290" t="str">
            <v>Fourniture et pose de pompe de surface et alimentation solaire Q=22m3/j HMT= 87,05m</v>
          </cell>
          <cell r="D290" t="str">
            <v>Ens.</v>
          </cell>
          <cell r="E290">
            <v>56385000</v>
          </cell>
          <cell r="F290">
            <v>8950</v>
          </cell>
        </row>
        <row r="291">
          <cell r="B291" t="str">
            <v>301-01a</v>
          </cell>
          <cell r="C291" t="str">
            <v>Fourniture et pose de pompe immergée et alimentation solaire Q=1,0m3/h HMT= 33m</v>
          </cell>
          <cell r="D291" t="str">
            <v>Ens.</v>
          </cell>
          <cell r="E291">
            <v>12150000</v>
          </cell>
        </row>
        <row r="292">
          <cell r="B292" t="str">
            <v>301-03</v>
          </cell>
          <cell r="C292" t="str">
            <v>Fourniture et pose de pompe de surface électrique Q=36m3/j  HMT= 108,21m</v>
          </cell>
          <cell r="D292" t="str">
            <v>Ens.</v>
          </cell>
          <cell r="E292">
            <v>94852800</v>
          </cell>
          <cell r="F292">
            <v>22584</v>
          </cell>
        </row>
        <row r="293">
          <cell r="B293" t="str">
            <v>301-04</v>
          </cell>
          <cell r="C293" t="str">
            <v>Fourniture et pose de groupe electrogène P= 8 KVA</v>
          </cell>
          <cell r="D293" t="str">
            <v>Ens.</v>
          </cell>
          <cell r="E293">
            <v>16005000</v>
          </cell>
          <cell r="F293">
            <v>4850</v>
          </cell>
        </row>
        <row r="294">
          <cell r="B294" t="str">
            <v>301-05</v>
          </cell>
          <cell r="C294" t="str">
            <v>Installation Jirama</v>
          </cell>
          <cell r="D294" t="str">
            <v>Ens.</v>
          </cell>
          <cell r="E294">
            <v>1000000</v>
          </cell>
          <cell r="F294">
            <v>303.030303030303</v>
          </cell>
        </row>
        <row r="295">
          <cell r="B295" t="str">
            <v>301-06</v>
          </cell>
          <cell r="C295" t="str">
            <v>Fourniture et pose de pompe de surface et alimentation solaire Q=110m3/j HMT= 90m</v>
          </cell>
          <cell r="D295" t="str">
            <v>Ens.</v>
          </cell>
          <cell r="E295">
            <v>148837500</v>
          </cell>
          <cell r="F295">
            <v>28350</v>
          </cell>
        </row>
        <row r="297">
          <cell r="B297" t="str">
            <v>302'</v>
          </cell>
          <cell r="C297" t="str">
            <v>Fourniture de la Pompe doseuse</v>
          </cell>
        </row>
        <row r="298">
          <cell r="B298" t="str">
            <v>302-01</v>
          </cell>
          <cell r="C298" t="str">
            <v>Fourniture et pose pompe doseuse (DOSATRON), avec toute accessoire (pompe, bac de chlore, raccordement, …)</v>
          </cell>
          <cell r="D298" t="str">
            <v>Ens.</v>
          </cell>
          <cell r="E298">
            <v>7580000</v>
          </cell>
          <cell r="F298">
            <v>6320</v>
          </cell>
        </row>
        <row r="300">
          <cell r="B300" t="str">
            <v>400</v>
          </cell>
          <cell r="C300" t="str">
            <v>SERIE 400 - CONSTRUCTION FORAGE ou PUITS  ET EQUIPEMENTS</v>
          </cell>
        </row>
        <row r="303">
          <cell r="B303" t="str">
            <v>404</v>
          </cell>
          <cell r="C303" t="str">
            <v>Equipement tête de puits</v>
          </cell>
        </row>
        <row r="304">
          <cell r="B304" t="str">
            <v>404-1</v>
          </cell>
          <cell r="C304" t="str">
            <v>Equipement tête de puits (amorce conduite,vanne anti-retour, etc…)</v>
          </cell>
          <cell r="D304" t="str">
            <v>Ens.</v>
          </cell>
          <cell r="E304">
            <v>3547500</v>
          </cell>
          <cell r="F304">
            <v>1013.5714285714286</v>
          </cell>
        </row>
        <row r="305">
          <cell r="B305" t="str">
            <v>404-2</v>
          </cell>
          <cell r="C305" t="str">
            <v>Equipement tête de puits (amorce conduite,vanne anti-retour, débimêtre, etc…) projet AEP-S</v>
          </cell>
          <cell r="D305" t="str">
            <v>Ens.</v>
          </cell>
          <cell r="E305">
            <v>3547500</v>
          </cell>
          <cell r="F305">
            <v>1013.5714285714286</v>
          </cell>
        </row>
        <row r="306">
          <cell r="B306" t="str">
            <v>404-3</v>
          </cell>
          <cell r="C306" t="str">
            <v>Essai de puits et essai de pompage conformes aux spécifications</v>
          </cell>
          <cell r="D306" t="str">
            <v>Ens.</v>
          </cell>
          <cell r="E306">
            <v>1200000</v>
          </cell>
          <cell r="F306">
            <v>342.85714285714283</v>
          </cell>
        </row>
        <row r="308">
          <cell r="B308" t="str">
            <v>500</v>
          </cell>
          <cell r="C308" t="str">
            <v>SERIE 500 - TRAVAUX DE RESEAUX EN TRANCHEE</v>
          </cell>
        </row>
        <row r="310">
          <cell r="B310">
            <v>501</v>
          </cell>
          <cell r="C310" t="str">
            <v>Fouilles en tranchées</v>
          </cell>
        </row>
        <row r="311">
          <cell r="B311" t="str">
            <v>501-1</v>
          </cell>
          <cell r="C311" t="str">
            <v>Déblai en tranchée pour conduite de DN20 à DN75</v>
          </cell>
          <cell r="D311" t="str">
            <v>ml</v>
          </cell>
          <cell r="E311">
            <v>1600</v>
          </cell>
          <cell r="F311">
            <v>0.45714285714285713</v>
          </cell>
        </row>
        <row r="312">
          <cell r="B312" t="str">
            <v>501-1'</v>
          </cell>
          <cell r="C312" t="str">
            <v>Dépose de la conduite en tranchée pour conduite de DN20 à DN75</v>
          </cell>
          <cell r="D312" t="str">
            <v>ml</v>
          </cell>
          <cell r="E312">
            <v>1500</v>
          </cell>
          <cell r="F312">
            <v>0.42857142857142855</v>
          </cell>
        </row>
        <row r="313">
          <cell r="B313" t="str">
            <v>501-2</v>
          </cell>
          <cell r="C313" t="str">
            <v>Déblai en tranchée pour conduite de DN75 à DN 100</v>
          </cell>
          <cell r="D313" t="str">
            <v>ml</v>
          </cell>
          <cell r="E313">
            <v>1750</v>
          </cell>
          <cell r="F313">
            <v>0.5</v>
          </cell>
        </row>
        <row r="314">
          <cell r="B314" t="str">
            <v>501-3</v>
          </cell>
          <cell r="C314" t="str">
            <v>Déblai en tranchée pour conduite de DN100 et plus</v>
          </cell>
          <cell r="D314" t="str">
            <v>ml</v>
          </cell>
          <cell r="E314">
            <v>1900</v>
          </cell>
          <cell r="F314">
            <v>0.54285714285714282</v>
          </cell>
        </row>
        <row r="315">
          <cell r="B315" t="str">
            <v>101-7</v>
          </cell>
          <cell r="C315" t="str">
            <v>Déroctage</v>
          </cell>
          <cell r="D315" t="str">
            <v>m3</v>
          </cell>
          <cell r="E315">
            <v>37500</v>
          </cell>
          <cell r="F315">
            <v>10.714285714285714</v>
          </cell>
        </row>
        <row r="317">
          <cell r="B317">
            <v>502</v>
          </cell>
          <cell r="C317" t="str">
            <v>Remblaiement des tranchées</v>
          </cell>
        </row>
        <row r="318">
          <cell r="B318" t="str">
            <v>502-1</v>
          </cell>
          <cell r="C318" t="str">
            <v xml:space="preserve">Remblai compacté à l'aide de matériaux provenant des fouilles. </v>
          </cell>
          <cell r="D318" t="str">
            <v>ml</v>
          </cell>
          <cell r="E318">
            <v>1630</v>
          </cell>
          <cell r="F318">
            <v>0.46571428571428569</v>
          </cell>
        </row>
        <row r="319">
          <cell r="B319" t="str">
            <v>502-2</v>
          </cell>
          <cell r="C319" t="str">
            <v>Remblai compacté à l'aide de matériaux d'apport</v>
          </cell>
          <cell r="D319" t="str">
            <v>ml</v>
          </cell>
          <cell r="E319">
            <v>1780</v>
          </cell>
          <cell r="F319">
            <v>0.50857142857142856</v>
          </cell>
        </row>
        <row r="320">
          <cell r="B320" t="str">
            <v>502-03</v>
          </cell>
          <cell r="C320" t="str">
            <v>Sable pour lit de pose</v>
          </cell>
          <cell r="D320" t="str">
            <v>ml</v>
          </cell>
          <cell r="E320">
            <v>350</v>
          </cell>
        </row>
        <row r="322">
          <cell r="B322">
            <v>503</v>
          </cell>
          <cell r="C322" t="str">
            <v>Ouvrage de franchissement</v>
          </cell>
        </row>
        <row r="323">
          <cell r="B323" t="str">
            <v>503-1</v>
          </cell>
          <cell r="C323" t="str">
            <v>Berceau en béton armé pour conduite DN 90</v>
          </cell>
          <cell r="D323" t="str">
            <v>ml</v>
          </cell>
          <cell r="E323">
            <v>151000</v>
          </cell>
          <cell r="F323">
            <v>43.142857142857146</v>
          </cell>
        </row>
        <row r="324">
          <cell r="B324" t="str">
            <v>503-2</v>
          </cell>
          <cell r="C324" t="str">
            <v>Berceau en béton armé pour conduite DN 75</v>
          </cell>
          <cell r="D324" t="str">
            <v>ml</v>
          </cell>
          <cell r="E324">
            <v>139500</v>
          </cell>
          <cell r="F324">
            <v>39.857142857142854</v>
          </cell>
        </row>
        <row r="325">
          <cell r="B325" t="str">
            <v>503-3</v>
          </cell>
          <cell r="C325" t="str">
            <v>Berceau en béton armé pour conduite DN 63</v>
          </cell>
          <cell r="D325" t="str">
            <v>ml</v>
          </cell>
          <cell r="E325">
            <v>131200</v>
          </cell>
          <cell r="F325">
            <v>37.485714285714288</v>
          </cell>
        </row>
        <row r="326">
          <cell r="B326" t="str">
            <v>503-4</v>
          </cell>
          <cell r="C326" t="str">
            <v>Berceau en béton armé pour conduite DN 50</v>
          </cell>
          <cell r="D326" t="str">
            <v>ml</v>
          </cell>
          <cell r="E326">
            <v>130000</v>
          </cell>
          <cell r="F326">
            <v>37.142857142857146</v>
          </cell>
        </row>
        <row r="327">
          <cell r="B327" t="str">
            <v>503-5</v>
          </cell>
          <cell r="C327" t="str">
            <v>Berceau en béton armé pour conduite DN 40</v>
          </cell>
          <cell r="D327" t="str">
            <v>ml</v>
          </cell>
          <cell r="E327">
            <v>124000</v>
          </cell>
          <cell r="F327">
            <v>35.428571428571431</v>
          </cell>
        </row>
        <row r="328">
          <cell r="B328" t="str">
            <v>503-6</v>
          </cell>
          <cell r="C328" t="str">
            <v>Berceau en béton armé pour conduite DN 25</v>
          </cell>
          <cell r="D328" t="str">
            <v>ml</v>
          </cell>
          <cell r="E328">
            <v>120000</v>
          </cell>
          <cell r="F328">
            <v>34.285714285714285</v>
          </cell>
        </row>
        <row r="330">
          <cell r="B330" t="str">
            <v>600</v>
          </cell>
          <cell r="C330" t="str">
            <v>SERIE 600 - CANALISATION</v>
          </cell>
        </row>
        <row r="332">
          <cell r="B332">
            <v>601</v>
          </cell>
          <cell r="C332" t="str">
            <v>FOURNITURE ET POSE TUYAUTERIE PVC - ADDUCTION</v>
          </cell>
        </row>
        <row r="333">
          <cell r="B333" t="str">
            <v>420-01-a</v>
          </cell>
          <cell r="C333" t="str">
            <v>Fourniture et pose de tuyau PVC à coller D200 PN 16</v>
          </cell>
          <cell r="D333" t="str">
            <v>ml</v>
          </cell>
          <cell r="E333">
            <v>119600</v>
          </cell>
          <cell r="F333">
            <v>34.171428571428571</v>
          </cell>
        </row>
        <row r="334">
          <cell r="B334" t="str">
            <v>601-01</v>
          </cell>
          <cell r="C334" t="str">
            <v>Fourniture et pose de tuyau PVC à joint automatique DN200 PN 16</v>
          </cell>
          <cell r="D334" t="str">
            <v>ml</v>
          </cell>
          <cell r="E334">
            <v>82789.59144959999</v>
          </cell>
        </row>
        <row r="335">
          <cell r="B335" t="str">
            <v>601-02</v>
          </cell>
          <cell r="C335" t="str">
            <v>Fourniture et pose de tuyau PVC à joint automatique DN160 PN 16</v>
          </cell>
          <cell r="D335" t="str">
            <v>ml</v>
          </cell>
          <cell r="E335">
            <v>53110.303948799999</v>
          </cell>
        </row>
        <row r="336">
          <cell r="B336" t="str">
            <v>601-03</v>
          </cell>
          <cell r="C336" t="str">
            <v>Fourniture et pose de tuyau PVC à joint automatique DN140 PN 16</v>
          </cell>
          <cell r="D336" t="str">
            <v>ml</v>
          </cell>
          <cell r="E336">
            <v>48424.100659200005</v>
          </cell>
        </row>
        <row r="337">
          <cell r="B337" t="str">
            <v>601-04</v>
          </cell>
          <cell r="C337" t="str">
            <v>Fourniture et pose de tuyau PVC à joint automatique DN125 PN 16</v>
          </cell>
          <cell r="D337" t="str">
            <v>ml</v>
          </cell>
          <cell r="E337">
            <v>33159.684096000005</v>
          </cell>
        </row>
        <row r="338">
          <cell r="B338" t="str">
            <v>601-05</v>
          </cell>
          <cell r="C338" t="str">
            <v>Fourniture et pose de tuyau PVC à joint automatique DN110 PN 16</v>
          </cell>
          <cell r="D338" t="str">
            <v>ml</v>
          </cell>
          <cell r="E338">
            <v>26003.143065600001</v>
          </cell>
        </row>
        <row r="339">
          <cell r="B339" t="str">
            <v>601-06</v>
          </cell>
          <cell r="C339" t="str">
            <v>Fourniture et pose de tuyau PVC à joint automatique DN90 PN 16</v>
          </cell>
          <cell r="D339" t="str">
            <v>ml</v>
          </cell>
          <cell r="E339">
            <v>20463.479193600004</v>
          </cell>
        </row>
        <row r="340">
          <cell r="B340" t="str">
            <v>601-07</v>
          </cell>
          <cell r="C340" t="str">
            <v>Fourniture et pose de tuyau PVC à joint automatique DN75 PN 16</v>
          </cell>
          <cell r="D340" t="str">
            <v>ml</v>
          </cell>
          <cell r="E340">
            <v>14292.528537600003</v>
          </cell>
        </row>
        <row r="341">
          <cell r="B341" t="str">
            <v>601-08</v>
          </cell>
          <cell r="C341" t="str">
            <v>Fourniture et pose de tuyau PVC à joint automatique DN63 PN 16</v>
          </cell>
          <cell r="D341" t="str">
            <v>ml</v>
          </cell>
          <cell r="E341">
            <v>10231.739596800002</v>
          </cell>
        </row>
        <row r="342">
          <cell r="B342" t="str">
            <v>601-09</v>
          </cell>
          <cell r="C342" t="str">
            <v>Fourniture et pose de tuyau PVC à coller D50 PN 16</v>
          </cell>
          <cell r="D342" t="str">
            <v>ml</v>
          </cell>
          <cell r="E342">
            <v>6444.0188927999989</v>
          </cell>
        </row>
        <row r="343">
          <cell r="B343" t="str">
            <v>601-10</v>
          </cell>
          <cell r="C343" t="str">
            <v>Fourniture et pose de tuyau PVC à coller D40 PN 16</v>
          </cell>
          <cell r="D343" t="str">
            <v>ml</v>
          </cell>
          <cell r="E343">
            <v>4178.2376448000005</v>
          </cell>
        </row>
        <row r="344">
          <cell r="B344" t="str">
            <v>601-11</v>
          </cell>
          <cell r="C344" t="str">
            <v>Fourniture et pose de tuyau PVC à coller D32 PN 16</v>
          </cell>
          <cell r="D344" t="str">
            <v>ml</v>
          </cell>
          <cell r="E344">
            <v>2725.7886719999992</v>
          </cell>
        </row>
        <row r="345">
          <cell r="B345" t="str">
            <v>601-12</v>
          </cell>
          <cell r="C345" t="str">
            <v>Fourniture et pose de tuyau PVC à coller D25 PN 16</v>
          </cell>
          <cell r="D345" t="str">
            <v>ml</v>
          </cell>
          <cell r="E345">
            <v>1687.3463808000001</v>
          </cell>
        </row>
        <row r="346">
          <cell r="B346" t="str">
            <v>601-13</v>
          </cell>
          <cell r="C346" t="str">
            <v>Fourniture et pose de tuyau PVC à coller D20 PN 16</v>
          </cell>
          <cell r="D346" t="str">
            <v>ml</v>
          </cell>
          <cell r="E346">
            <v>1468.1088</v>
          </cell>
        </row>
        <row r="348">
          <cell r="B348">
            <v>602</v>
          </cell>
          <cell r="C348" t="str">
            <v>FOURNITURE ET POSE TUYAUTERIE PVC - EVACUATION</v>
          </cell>
        </row>
        <row r="349">
          <cell r="B349" t="str">
            <v>420-18</v>
          </cell>
          <cell r="C349" t="str">
            <v>Fourniture et pose de tuyau d'évacuation en PVC 100</v>
          </cell>
          <cell r="D349" t="str">
            <v>ml</v>
          </cell>
          <cell r="E349">
            <v>12300</v>
          </cell>
          <cell r="F349">
            <v>3.5142857142857142</v>
          </cell>
        </row>
        <row r="350">
          <cell r="B350" t="str">
            <v>420-19</v>
          </cell>
          <cell r="C350" t="str">
            <v>Fourniture et pose de tuyau d'évacuation en PVC 90</v>
          </cell>
          <cell r="D350" t="str">
            <v>ml</v>
          </cell>
          <cell r="E350">
            <v>14369.35</v>
          </cell>
          <cell r="F350">
            <v>4.1055285714285716</v>
          </cell>
        </row>
        <row r="351">
          <cell r="B351" t="str">
            <v>420-20</v>
          </cell>
          <cell r="C351" t="str">
            <v>Fourniture et pose de tuyau d'évacuation en PVC 75</v>
          </cell>
          <cell r="D351" t="str">
            <v>ml</v>
          </cell>
          <cell r="E351">
            <v>14181.9</v>
          </cell>
          <cell r="F351">
            <v>4.0519714285714281</v>
          </cell>
        </row>
        <row r="352">
          <cell r="B352" t="str">
            <v>420-21</v>
          </cell>
          <cell r="C352" t="str">
            <v>Fourniture et pose de tuyau d'évacuation en PVC 63</v>
          </cell>
          <cell r="D352" t="str">
            <v>ml</v>
          </cell>
          <cell r="E352">
            <v>8410.74</v>
          </cell>
          <cell r="F352">
            <v>2.4030685714285713</v>
          </cell>
        </row>
        <row r="353">
          <cell r="B353" t="str">
            <v>420-22</v>
          </cell>
          <cell r="C353" t="str">
            <v>Fourniture et de tuyau d'évacuation en PVC 50</v>
          </cell>
          <cell r="D353" t="str">
            <v>ml</v>
          </cell>
          <cell r="E353">
            <v>6905.22</v>
          </cell>
          <cell r="F353">
            <v>1.97292</v>
          </cell>
        </row>
        <row r="354">
          <cell r="B354" t="str">
            <v>420-23</v>
          </cell>
          <cell r="C354" t="str">
            <v>Fourniture et de tuyau d'évacuation en PVC 40</v>
          </cell>
          <cell r="D354" t="str">
            <v>ml</v>
          </cell>
          <cell r="E354">
            <v>6200</v>
          </cell>
          <cell r="F354">
            <v>1.7714285714285714</v>
          </cell>
        </row>
        <row r="355">
          <cell r="B355" t="str">
            <v>420-24</v>
          </cell>
          <cell r="C355" t="str">
            <v>Fourniture et de tuyau d'évacuation en PVC 32</v>
          </cell>
          <cell r="D355" t="str">
            <v>ml</v>
          </cell>
          <cell r="E355">
            <v>4300</v>
          </cell>
          <cell r="F355">
            <v>1.2285714285714286</v>
          </cell>
        </row>
        <row r="357">
          <cell r="B357" t="str">
            <v>603F</v>
          </cell>
          <cell r="C357" t="str">
            <v>Fourniture et pose tuyauterie en PEHD PN12,5</v>
          </cell>
        </row>
        <row r="358">
          <cell r="B358" t="str">
            <v>410-01-b</v>
          </cell>
          <cell r="C358" t="str">
            <v>Fourniture de tuyaux PEHD DN 90 PN 12,5</v>
          </cell>
          <cell r="D358" t="str">
            <v>ml</v>
          </cell>
          <cell r="E358">
            <v>14550</v>
          </cell>
          <cell r="F358">
            <v>4.1571428571428575</v>
          </cell>
        </row>
        <row r="359">
          <cell r="B359" t="str">
            <v>410-02-b</v>
          </cell>
          <cell r="C359" t="str">
            <v>Fourniture de tuyaux PEHD DN 75 PN 12,5</v>
          </cell>
          <cell r="D359" t="str">
            <v>ml</v>
          </cell>
          <cell r="E359">
            <v>12988.8</v>
          </cell>
          <cell r="F359">
            <v>3.7110857142857139</v>
          </cell>
        </row>
        <row r="360">
          <cell r="B360" t="str">
            <v>410-03-b</v>
          </cell>
          <cell r="C360" t="str">
            <v>Fourniture de tuyaux PEHD DN 63 PN 12,5</v>
          </cell>
          <cell r="D360" t="str">
            <v>ml</v>
          </cell>
          <cell r="E360">
            <v>9581.9760000000006</v>
          </cell>
          <cell r="F360">
            <v>2.7377074285714289</v>
          </cell>
        </row>
        <row r="361">
          <cell r="B361" t="str">
            <v>410-04-b</v>
          </cell>
          <cell r="C361" t="str">
            <v>Fourniture de tuyaux PEHD DN 50 PN 12,5</v>
          </cell>
          <cell r="D361" t="str">
            <v>ml</v>
          </cell>
          <cell r="E361">
            <v>6148.8</v>
          </cell>
          <cell r="F361">
            <v>1.7568000000000001</v>
          </cell>
        </row>
        <row r="362">
          <cell r="B362" t="str">
            <v>410-05-b</v>
          </cell>
          <cell r="C362" t="str">
            <v>Fourniture de tuyaux PEHD DN 40 PN 12,5</v>
          </cell>
          <cell r="D362" t="str">
            <v>ml</v>
          </cell>
          <cell r="E362">
            <v>3466.3620000000001</v>
          </cell>
          <cell r="F362">
            <v>0.99038914285714286</v>
          </cell>
        </row>
        <row r="363">
          <cell r="B363" t="str">
            <v>410-06-b</v>
          </cell>
          <cell r="C363" t="str">
            <v>Fourniture de tuyaux PEHD DN 32 PN 12,5</v>
          </cell>
          <cell r="D363" t="str">
            <v>ml</v>
          </cell>
          <cell r="E363">
            <v>2472</v>
          </cell>
          <cell r="F363">
            <v>0.70628571428571429</v>
          </cell>
        </row>
        <row r="364">
          <cell r="B364" t="str">
            <v>410-07-b</v>
          </cell>
          <cell r="C364" t="str">
            <v>Fourniture de tuyaux PEHD DN 25 PN 12,5</v>
          </cell>
          <cell r="D364" t="str">
            <v>ml</v>
          </cell>
          <cell r="E364">
            <v>2124.0480000000002</v>
          </cell>
          <cell r="F364">
            <v>0.60687085714285716</v>
          </cell>
        </row>
        <row r="365">
          <cell r="B365" t="str">
            <v>410-08-b</v>
          </cell>
          <cell r="C365" t="str">
            <v>Fourniture de tuyaux PEHD DN 20 PN 12,5</v>
          </cell>
          <cell r="D365" t="str">
            <v>ml</v>
          </cell>
          <cell r="E365">
            <v>883.72800000000007</v>
          </cell>
          <cell r="F365">
            <v>0.25249371428571432</v>
          </cell>
        </row>
        <row r="366">
          <cell r="B366" t="str">
            <v>410-01-d'</v>
          </cell>
          <cell r="C366" t="str">
            <v>Fourniture de tuyaux PEHD DN 110 PN 10</v>
          </cell>
          <cell r="D366" t="str">
            <v>ml</v>
          </cell>
          <cell r="E366">
            <v>21087</v>
          </cell>
          <cell r="F366">
            <v>6.0248571428571429</v>
          </cell>
        </row>
        <row r="367">
          <cell r="B367" t="str">
            <v>410-01-c</v>
          </cell>
          <cell r="C367" t="str">
            <v>Fourniture de tuyaux PEHD DN 90 PN 10</v>
          </cell>
          <cell r="D367" t="str">
            <v>ml</v>
          </cell>
          <cell r="E367">
            <v>15472.079999999998</v>
          </cell>
          <cell r="F367">
            <v>4.4205942857142855</v>
          </cell>
        </row>
        <row r="368">
          <cell r="B368" t="str">
            <v>410-02-c</v>
          </cell>
          <cell r="C368" t="str">
            <v>Fourniture de tuyaux PEHD DN 75 PN 10</v>
          </cell>
          <cell r="D368" t="str">
            <v>ml</v>
          </cell>
          <cell r="E368">
            <v>11088</v>
          </cell>
          <cell r="F368">
            <v>3.1680000000000001</v>
          </cell>
        </row>
        <row r="369">
          <cell r="B369" t="str">
            <v>410-03-c</v>
          </cell>
          <cell r="C369" t="str">
            <v>Fourniture de tuyaux PEHD DN 63 PN 10</v>
          </cell>
          <cell r="D369" t="str">
            <v>ml</v>
          </cell>
          <cell r="E369">
            <v>7738.848</v>
          </cell>
          <cell r="F369">
            <v>2.2110994285714285</v>
          </cell>
        </row>
        <row r="370">
          <cell r="B370" t="str">
            <v>410-04-c</v>
          </cell>
          <cell r="C370" t="str">
            <v>Fourniture de tuyaux PEHD DN 50 PN 10</v>
          </cell>
          <cell r="D370" t="str">
            <v>ml</v>
          </cell>
          <cell r="E370">
            <v>4930.2</v>
          </cell>
          <cell r="F370">
            <v>1.4086285714285713</v>
          </cell>
        </row>
        <row r="371">
          <cell r="B371" t="str">
            <v>410-05-c</v>
          </cell>
          <cell r="C371" t="str">
            <v>Fourniture de tuyaux PEHD DN 40 PN 10</v>
          </cell>
          <cell r="D371" t="str">
            <v>ml</v>
          </cell>
          <cell r="E371">
            <v>3243.2640000000001</v>
          </cell>
          <cell r="F371">
            <v>0.92664685714285722</v>
          </cell>
        </row>
        <row r="372">
          <cell r="B372" t="str">
            <v>410-06-c</v>
          </cell>
          <cell r="C372" t="str">
            <v>Fourniture de tuyaux PEHD DN 32 PN 10</v>
          </cell>
          <cell r="D372" t="str">
            <v>ml</v>
          </cell>
          <cell r="E372">
            <v>2360.4839999999999</v>
          </cell>
          <cell r="F372">
            <v>0.67442400000000002</v>
          </cell>
        </row>
        <row r="373">
          <cell r="B373" t="str">
            <v>410-07-c</v>
          </cell>
          <cell r="C373" t="str">
            <v>Fourniture de tuyaux PEHD DN 25 PN 10</v>
          </cell>
          <cell r="D373" t="str">
            <v>ml</v>
          </cell>
          <cell r="E373">
            <v>1536</v>
          </cell>
          <cell r="F373">
            <v>0.43885714285714283</v>
          </cell>
        </row>
        <row r="375">
          <cell r="B375">
            <v>603</v>
          </cell>
          <cell r="C375" t="str">
            <v>Fourniture et pose tuyauterie en PEHD PN10</v>
          </cell>
        </row>
        <row r="376">
          <cell r="B376" t="str">
            <v>603-01</v>
          </cell>
          <cell r="C376" t="str">
            <v>Fourniture et pose de tuyaux PEHD DN 110 PN 10</v>
          </cell>
          <cell r="D376" t="str">
            <v>ml</v>
          </cell>
          <cell r="E376">
            <v>44024.639999999999</v>
          </cell>
          <cell r="F376">
            <v>12.578468571428571</v>
          </cell>
        </row>
        <row r="377">
          <cell r="B377" t="str">
            <v>603-02</v>
          </cell>
          <cell r="C377" t="str">
            <v>Fourniture et pose de tuyaux PEHD DN 90 PN 10</v>
          </cell>
          <cell r="D377" t="str">
            <v>ml</v>
          </cell>
          <cell r="E377">
            <v>30239.088</v>
          </cell>
          <cell r="F377">
            <v>8.6397394285714277</v>
          </cell>
        </row>
        <row r="378">
          <cell r="B378" t="str">
            <v>603-03</v>
          </cell>
          <cell r="C378" t="str">
            <v>Fourniture et pose de tuyaux PEHD DN 75 PN 10</v>
          </cell>
          <cell r="D378" t="str">
            <v>ml</v>
          </cell>
          <cell r="E378">
            <v>22355.52</v>
          </cell>
          <cell r="F378">
            <v>6.3872914285714284</v>
          </cell>
        </row>
        <row r="379">
          <cell r="B379" t="str">
            <v>603-04</v>
          </cell>
          <cell r="C379" t="str">
            <v>Fourniture et pose de tuyaux PEHD DN 63 PN 10</v>
          </cell>
          <cell r="D379" t="str">
            <v>ml</v>
          </cell>
          <cell r="E379">
            <v>15484.128000000001</v>
          </cell>
          <cell r="F379">
            <v>4.4240365714285712</v>
          </cell>
        </row>
        <row r="380">
          <cell r="B380" t="str">
            <v>603-05</v>
          </cell>
          <cell r="C380" t="str">
            <v>Fourniture et pose de tuyaux PEHD DN 50 PN 10</v>
          </cell>
          <cell r="D380" t="str">
            <v>ml</v>
          </cell>
          <cell r="E380">
            <v>9826.08</v>
          </cell>
          <cell r="F380">
            <v>2.8074514285714285</v>
          </cell>
        </row>
        <row r="381">
          <cell r="B381" t="str">
            <v>603-06</v>
          </cell>
          <cell r="C381" t="str">
            <v>Fourniture et pose de tuyaux PEHD DN 40 PN 10</v>
          </cell>
          <cell r="D381" t="str">
            <v>ml</v>
          </cell>
          <cell r="E381">
            <v>6046.6560000000009</v>
          </cell>
          <cell r="F381">
            <v>1.7276160000000003</v>
          </cell>
        </row>
        <row r="382">
          <cell r="B382" t="str">
            <v>603-07</v>
          </cell>
          <cell r="C382" t="str">
            <v>Fourniture et pose de tuyaux PEHD DN 32 PN 10</v>
          </cell>
          <cell r="D382" t="str">
            <v>ml</v>
          </cell>
          <cell r="E382">
            <v>4207.6320000000005</v>
          </cell>
          <cell r="F382">
            <v>1.2021805714285716</v>
          </cell>
        </row>
        <row r="383">
          <cell r="B383" t="str">
            <v>603-08</v>
          </cell>
          <cell r="C383" t="str">
            <v>Fourniture et pose de tuyaux PEHD DN 25 PN 10</v>
          </cell>
          <cell r="D383" t="str">
            <v>ml</v>
          </cell>
          <cell r="E383">
            <v>3323.76</v>
          </cell>
          <cell r="F383">
            <v>0.94964571428571432</v>
          </cell>
        </row>
        <row r="386">
          <cell r="B386" t="str">
            <v>604P</v>
          </cell>
          <cell r="C386" t="str">
            <v>Fourniture et pose de tuyauterie Galva</v>
          </cell>
        </row>
        <row r="387">
          <cell r="B387" t="str">
            <v>330-01</v>
          </cell>
          <cell r="C387" t="str">
            <v>Fourniture et pose de tuyaux galvanisés 100/114</v>
          </cell>
          <cell r="D387" t="str">
            <v>ml</v>
          </cell>
          <cell r="E387">
            <v>97059.6</v>
          </cell>
          <cell r="F387">
            <v>27.731314285714287</v>
          </cell>
        </row>
        <row r="388">
          <cell r="B388" t="str">
            <v>330-02</v>
          </cell>
          <cell r="C388" t="str">
            <v>Fourniture et pose de tuyaux galvanisés 80/90</v>
          </cell>
          <cell r="D388" t="str">
            <v>ml</v>
          </cell>
          <cell r="E388">
            <v>53512.800000000003</v>
          </cell>
          <cell r="F388">
            <v>15.28937142857143</v>
          </cell>
        </row>
        <row r="389">
          <cell r="B389" t="str">
            <v>330-03</v>
          </cell>
          <cell r="C389" t="str">
            <v>Fourniture et pose de tuyaux galvanisés 66/76</v>
          </cell>
          <cell r="D389" t="str">
            <v>ml</v>
          </cell>
          <cell r="E389">
            <v>46833.600000000006</v>
          </cell>
          <cell r="F389">
            <v>13.381028571428573</v>
          </cell>
        </row>
        <row r="390">
          <cell r="B390" t="str">
            <v>330-04</v>
          </cell>
          <cell r="C390" t="str">
            <v>Fourniture et pose de tuyaux galvanisés 50/60</v>
          </cell>
          <cell r="D390" t="str">
            <v>ml</v>
          </cell>
          <cell r="E390">
            <v>37699.200000000004</v>
          </cell>
          <cell r="F390">
            <v>10.771200000000002</v>
          </cell>
        </row>
        <row r="391">
          <cell r="B391" t="str">
            <v>330-05</v>
          </cell>
          <cell r="C391" t="str">
            <v>Fourniture et pose de tuyaux galvanisés 40/49</v>
          </cell>
          <cell r="D391" t="str">
            <v>ml</v>
          </cell>
          <cell r="E391">
            <v>34029.599999999999</v>
          </cell>
          <cell r="F391">
            <v>9.7227428571428565</v>
          </cell>
        </row>
        <row r="392">
          <cell r="B392" t="str">
            <v>330-06</v>
          </cell>
          <cell r="C392" t="str">
            <v>Fourniture et pose de tuyaux galvanisés 33/42</v>
          </cell>
          <cell r="D392" t="str">
            <v>ml</v>
          </cell>
          <cell r="E392">
            <v>21859.200000000001</v>
          </cell>
          <cell r="F392">
            <v>6.2454857142857145</v>
          </cell>
        </row>
        <row r="393">
          <cell r="B393" t="str">
            <v>330-07</v>
          </cell>
          <cell r="C393" t="str">
            <v>Fourniture et pose de tuyaux galvanisés 26/33</v>
          </cell>
          <cell r="D393" t="str">
            <v>ml</v>
          </cell>
          <cell r="E393">
            <v>16236</v>
          </cell>
          <cell r="F393">
            <v>4.6388571428571428</v>
          </cell>
        </row>
        <row r="394">
          <cell r="B394" t="str">
            <v>330-08</v>
          </cell>
          <cell r="C394" t="str">
            <v>Fourniture et pose de tuyaux galvanisés 20/27</v>
          </cell>
          <cell r="D394" t="str">
            <v>ml</v>
          </cell>
          <cell r="E394">
            <v>12830.400000000001</v>
          </cell>
          <cell r="F394">
            <v>3.6658285714285719</v>
          </cell>
        </row>
        <row r="395">
          <cell r="B395" t="str">
            <v>330-09</v>
          </cell>
          <cell r="C395" t="str">
            <v>Fourniture et pose de tuyaux galvanisés 15/21</v>
          </cell>
          <cell r="D395" t="str">
            <v>ml</v>
          </cell>
          <cell r="E395">
            <v>10203.6</v>
          </cell>
          <cell r="F395">
            <v>2.915314285714286</v>
          </cell>
        </row>
        <row r="396">
          <cell r="B396" t="str">
            <v>330-10</v>
          </cell>
          <cell r="C396" t="str">
            <v>Fourniture et pose de tuyau galva f 15/21, y compris tout accessoire de raccordement (Té, coude, …)</v>
          </cell>
          <cell r="D396" t="str">
            <v>ml</v>
          </cell>
          <cell r="E396">
            <v>10000</v>
          </cell>
          <cell r="F396">
            <v>2.8571428571428572</v>
          </cell>
        </row>
        <row r="398">
          <cell r="B398">
            <v>601</v>
          </cell>
          <cell r="C398" t="str">
            <v>FOURNITURE ET POSE TUYAUTERIE PVC - ADDUCTION</v>
          </cell>
        </row>
        <row r="399">
          <cell r="B399" t="str">
            <v>601-01-b</v>
          </cell>
          <cell r="C399" t="str">
            <v>Fourniture et pose de tuyau PVC à coller D200 PN 16 y compris toutes accesoires</v>
          </cell>
          <cell r="D399" t="str">
            <v>ml</v>
          </cell>
          <cell r="E399">
            <v>149500</v>
          </cell>
          <cell r="F399">
            <v>42.714285714285715</v>
          </cell>
        </row>
        <row r="401">
          <cell r="B401">
            <v>602</v>
          </cell>
          <cell r="C401" t="str">
            <v>FOURNITURE ET POSE TUYAUTERIE PVC - EVACUATION</v>
          </cell>
        </row>
        <row r="402">
          <cell r="B402" t="str">
            <v>602-01</v>
          </cell>
          <cell r="C402" t="str">
            <v>Fourniture et pose de tuyau d'évacuation en PVC 100  y compris toutes accesoires</v>
          </cell>
          <cell r="D402" t="str">
            <v>ml</v>
          </cell>
          <cell r="E402">
            <v>15375</v>
          </cell>
          <cell r="F402">
            <v>4.3928571428571432</v>
          </cell>
        </row>
        <row r="403">
          <cell r="B403" t="str">
            <v>602-02</v>
          </cell>
          <cell r="C403" t="str">
            <v>Fourniture et pose de tuyau d'évacuation en PVC 90  y compris toutes accesoires</v>
          </cell>
          <cell r="D403" t="str">
            <v>ml</v>
          </cell>
          <cell r="E403">
            <v>17961.6875</v>
          </cell>
          <cell r="F403">
            <v>5.1319107142857145</v>
          </cell>
        </row>
        <row r="404">
          <cell r="B404" t="str">
            <v>602-03</v>
          </cell>
          <cell r="C404" t="str">
            <v>Fourniture et pose de tuyau d'évacuation en PVC 75  y compris toutes accesoires</v>
          </cell>
          <cell r="D404" t="str">
            <v>ml</v>
          </cell>
          <cell r="E404">
            <v>17727.375</v>
          </cell>
          <cell r="F404">
            <v>5.0649642857142858</v>
          </cell>
        </row>
        <row r="405">
          <cell r="B405" t="str">
            <v>602-04</v>
          </cell>
          <cell r="C405" t="str">
            <v>Fourniture et pose de tuyau d'évacuation en PVC 63  y compris toutes accesoires</v>
          </cell>
          <cell r="D405" t="str">
            <v>ml</v>
          </cell>
          <cell r="E405">
            <v>10513.424999999999</v>
          </cell>
          <cell r="F405">
            <v>3.0038357142857142</v>
          </cell>
        </row>
        <row r="406">
          <cell r="B406" t="str">
            <v>602-05</v>
          </cell>
          <cell r="C406" t="str">
            <v>Fourniture et de tuyau d'évacuation en PVC 50  y compris toutes accesoires</v>
          </cell>
          <cell r="D406" t="str">
            <v>ml</v>
          </cell>
          <cell r="E406">
            <v>8631.5249999999996</v>
          </cell>
          <cell r="F406">
            <v>2.4661499999999998</v>
          </cell>
        </row>
        <row r="407">
          <cell r="B407" t="str">
            <v>602-06</v>
          </cell>
          <cell r="C407" t="str">
            <v>Fourniture et de tuyau d'évacuation en PVC 40  y compris toutes accesoires</v>
          </cell>
          <cell r="D407" t="str">
            <v>ml</v>
          </cell>
          <cell r="E407">
            <v>7750</v>
          </cell>
          <cell r="F407">
            <v>2.2142857142857144</v>
          </cell>
        </row>
        <row r="408">
          <cell r="B408" t="str">
            <v>602-07</v>
          </cell>
          <cell r="C408" t="str">
            <v>Fourniture et de tuyau d'évacuation en PVC 32  y compris toutes accesoires</v>
          </cell>
          <cell r="D408" t="str">
            <v>ml</v>
          </cell>
          <cell r="E408">
            <v>5375</v>
          </cell>
          <cell r="F408">
            <v>1.5357142857142858</v>
          </cell>
        </row>
        <row r="410">
          <cell r="B410">
            <v>603</v>
          </cell>
          <cell r="C410" t="str">
            <v xml:space="preserve"> Fourniture et pose TUYAUTERIE PEHD</v>
          </cell>
        </row>
        <row r="411">
          <cell r="B411" t="str">
            <v>603-01</v>
          </cell>
          <cell r="C411" t="str">
            <v>Fourniture de tuyaux PEHD DN 90 PN 12,5  y compris toutes accesoires</v>
          </cell>
          <cell r="D411" t="str">
            <v>ml</v>
          </cell>
          <cell r="E411">
            <v>29100.25</v>
          </cell>
          <cell r="F411">
            <v>8.3143571428571423</v>
          </cell>
        </row>
        <row r="412">
          <cell r="B412" t="str">
            <v>603-02</v>
          </cell>
          <cell r="C412" t="str">
            <v>Fourniture de tuyaux PEHD DN 75 PN 12,5  y compris toutes accesoires</v>
          </cell>
          <cell r="D412" t="str">
            <v>ml</v>
          </cell>
          <cell r="E412">
            <v>25977.85</v>
          </cell>
          <cell r="F412">
            <v>7.4222428571428569</v>
          </cell>
        </row>
        <row r="413">
          <cell r="B413" t="str">
            <v>603-03</v>
          </cell>
          <cell r="C413" t="str">
            <v>Fourniture de tuyaux PEHD DN 63 PN 12,5  y compris toutes accesoires</v>
          </cell>
          <cell r="D413" t="str">
            <v>ml</v>
          </cell>
          <cell r="E413">
            <v>19164.202000000001</v>
          </cell>
          <cell r="F413">
            <v>5.4754862857142861</v>
          </cell>
        </row>
        <row r="414">
          <cell r="B414" t="str">
            <v>603-04</v>
          </cell>
          <cell r="C414" t="str">
            <v>Fourniture de tuyaux PEHD DN 50 PN 12,5  y compris toutes accesoires</v>
          </cell>
          <cell r="D414" t="str">
            <v>ml</v>
          </cell>
          <cell r="E414">
            <v>18500</v>
          </cell>
          <cell r="F414">
            <v>5.2857142857142856</v>
          </cell>
        </row>
        <row r="415">
          <cell r="B415" t="str">
            <v>603-05</v>
          </cell>
          <cell r="C415" t="str">
            <v>Fourniture de tuyaux PEHD DN 40 PN 12,5  y compris toutes accesoires</v>
          </cell>
          <cell r="D415" t="str">
            <v>ml</v>
          </cell>
          <cell r="E415">
            <v>18000</v>
          </cell>
          <cell r="F415">
            <v>5.1428571428571432</v>
          </cell>
        </row>
        <row r="416">
          <cell r="B416" t="str">
            <v>603-06</v>
          </cell>
          <cell r="C416" t="str">
            <v>Fourniture de tuyaux PEHD DN 32 PN 12,5  y compris toutes accesoires</v>
          </cell>
          <cell r="D416" t="str">
            <v>ml</v>
          </cell>
          <cell r="E416">
            <v>15000</v>
          </cell>
          <cell r="F416">
            <v>4.2857142857142856</v>
          </cell>
        </row>
        <row r="417">
          <cell r="B417" t="str">
            <v>603-07</v>
          </cell>
          <cell r="C417" t="str">
            <v>Fourniture de tuyaux PEHD DN 25 PN 12,5  y compris toutes accesoires</v>
          </cell>
          <cell r="D417" t="str">
            <v>ml</v>
          </cell>
          <cell r="E417">
            <v>14000</v>
          </cell>
          <cell r="F417">
            <v>4</v>
          </cell>
        </row>
        <row r="418">
          <cell r="B418" t="str">
            <v>603-08</v>
          </cell>
          <cell r="C418" t="str">
            <v>Fourniture de tuyaux PEHD DN 20 PN 12,5  y compris toutes accesoires</v>
          </cell>
          <cell r="D418" t="str">
            <v>ml</v>
          </cell>
          <cell r="E418">
            <v>13500</v>
          </cell>
          <cell r="F418">
            <v>3.8571428571428572</v>
          </cell>
        </row>
        <row r="419">
          <cell r="B419" t="str">
            <v>603-09</v>
          </cell>
          <cell r="C419" t="str">
            <v>Fourniture de tuyaux PEHD DN 110 PN 10  y compris toutes accesoires</v>
          </cell>
          <cell r="D419" t="str">
            <v>ml</v>
          </cell>
          <cell r="E419">
            <v>55030.8</v>
          </cell>
          <cell r="F419">
            <v>15.723085714285714</v>
          </cell>
        </row>
        <row r="420">
          <cell r="B420" t="str">
            <v>603-10</v>
          </cell>
          <cell r="C420" t="str">
            <v>Fourniture de tuyaux PEHD DN 90 PN 10  y compris toutes accesoires</v>
          </cell>
          <cell r="D420" t="str">
            <v>ml</v>
          </cell>
          <cell r="E420">
            <v>37798.86</v>
          </cell>
          <cell r="F420">
            <v>10.799674285714286</v>
          </cell>
        </row>
        <row r="421">
          <cell r="B421" t="str">
            <v>603-11</v>
          </cell>
          <cell r="C421" t="str">
            <v>Fourniture de tuyaux PEHD DN 75 PN 10  y compris toutes accesoires</v>
          </cell>
          <cell r="D421" t="str">
            <v>ml</v>
          </cell>
          <cell r="E421">
            <v>27944.400000000001</v>
          </cell>
          <cell r="F421">
            <v>7.9841142857142859</v>
          </cell>
        </row>
        <row r="422">
          <cell r="B422" t="str">
            <v>603-12</v>
          </cell>
          <cell r="C422" t="str">
            <v>Fourniture de tuyaux PEHD DN 63 PN 10  y compris toutes accesoires</v>
          </cell>
          <cell r="D422" t="str">
            <v>ml</v>
          </cell>
          <cell r="E422">
            <v>19355.16</v>
          </cell>
          <cell r="F422">
            <v>5.5300457142857145</v>
          </cell>
        </row>
        <row r="423">
          <cell r="B423" t="str">
            <v>603-13</v>
          </cell>
          <cell r="C423" t="str">
            <v>Fourniture de tuyaux PEHD DN 50 PN 10  y compris toutes accesoires</v>
          </cell>
          <cell r="D423" t="str">
            <v>ml</v>
          </cell>
          <cell r="E423">
            <v>19500</v>
          </cell>
          <cell r="F423">
            <v>5.5714285714285712</v>
          </cell>
        </row>
        <row r="424">
          <cell r="B424" t="str">
            <v>603-14</v>
          </cell>
          <cell r="C424" t="str">
            <v>Fourniture de tuyaux PEHD DN 40 PN 10  y compris toutes accesoires</v>
          </cell>
          <cell r="D424" t="str">
            <v>ml</v>
          </cell>
          <cell r="E424">
            <v>18000</v>
          </cell>
          <cell r="F424">
            <v>5.1428571428571432</v>
          </cell>
        </row>
        <row r="425">
          <cell r="B425" t="str">
            <v>603-15</v>
          </cell>
          <cell r="C425" t="str">
            <v>Fourniture de tuyaux PEHD DN 32 PN 10  y compris toutes accesoires</v>
          </cell>
          <cell r="D425" t="str">
            <v>ml</v>
          </cell>
          <cell r="E425">
            <v>16000</v>
          </cell>
          <cell r="F425">
            <v>4.5714285714285712</v>
          </cell>
        </row>
        <row r="426">
          <cell r="B426" t="str">
            <v>603-16</v>
          </cell>
          <cell r="C426" t="str">
            <v>Fourniture de tuyaux PEHD DN 25 PN 10  y compris toutes accesoires</v>
          </cell>
          <cell r="D426" t="str">
            <v>ml</v>
          </cell>
          <cell r="E426">
            <v>14500</v>
          </cell>
          <cell r="F426">
            <v>4.1428571428571432</v>
          </cell>
        </row>
        <row r="428">
          <cell r="B428">
            <v>603</v>
          </cell>
          <cell r="C428" t="str">
            <v xml:space="preserve"> FOURNITURE ET POSE TUYAUTERIE PEHD</v>
          </cell>
        </row>
        <row r="429">
          <cell r="B429" t="str">
            <v>603-01</v>
          </cell>
          <cell r="C429" t="str">
            <v xml:space="preserve">Fourniture et pose de tuyaux PEHD DN 110 PN 10  </v>
          </cell>
          <cell r="D429" t="str">
            <v>ml</v>
          </cell>
          <cell r="E429">
            <v>55030.8</v>
          </cell>
          <cell r="F429">
            <v>15.723085714285714</v>
          </cell>
        </row>
        <row r="430">
          <cell r="B430" t="str">
            <v>603-02</v>
          </cell>
          <cell r="C430" t="str">
            <v xml:space="preserve">Fourniture et pose de tuyaux PEHD DN 90 PN 10   </v>
          </cell>
          <cell r="D430" t="str">
            <v>ml</v>
          </cell>
          <cell r="E430">
            <v>37798.86</v>
          </cell>
          <cell r="F430">
            <v>10.799674285714286</v>
          </cell>
        </row>
        <row r="431">
          <cell r="B431" t="str">
            <v>603-03</v>
          </cell>
          <cell r="C431" t="str">
            <v xml:space="preserve">Fourniture et pose de tuyaux PEHD DN 75 PN 10   </v>
          </cell>
          <cell r="D431" t="str">
            <v>ml</v>
          </cell>
          <cell r="E431">
            <v>27944.400000000001</v>
          </cell>
          <cell r="F431">
            <v>7.9841142857142859</v>
          </cell>
        </row>
        <row r="432">
          <cell r="B432" t="str">
            <v>603-04</v>
          </cell>
          <cell r="C432" t="str">
            <v xml:space="preserve">Fourniture et pose de tuyaux PEHD DN 63 PN 10   </v>
          </cell>
          <cell r="D432" t="str">
            <v>ml</v>
          </cell>
          <cell r="E432">
            <v>19355.16</v>
          </cell>
          <cell r="F432">
            <v>5.5300457142857145</v>
          </cell>
        </row>
        <row r="433">
          <cell r="B433" t="str">
            <v>603-05</v>
          </cell>
          <cell r="C433" t="str">
            <v xml:space="preserve">Fourniture et pose de tuyaux PEHD DN 50 PN 10   </v>
          </cell>
          <cell r="D433" t="str">
            <v>ml</v>
          </cell>
          <cell r="E433">
            <v>12282.6</v>
          </cell>
          <cell r="F433">
            <v>3.5093142857142858</v>
          </cell>
        </row>
        <row r="434">
          <cell r="B434" t="str">
            <v>603-06</v>
          </cell>
          <cell r="C434" t="str">
            <v xml:space="preserve">Fourniture et pose de tuyaux PEHD DN 40 PN 10   </v>
          </cell>
          <cell r="D434" t="str">
            <v>ml</v>
          </cell>
          <cell r="E434">
            <v>7558.3200000000015</v>
          </cell>
          <cell r="F434">
            <v>2.1595200000000006</v>
          </cell>
        </row>
        <row r="435">
          <cell r="B435" t="str">
            <v>603-07</v>
          </cell>
          <cell r="C435" t="str">
            <v xml:space="preserve">Fourniture et pose de tuyaux PEHD DN 32 PN 10   </v>
          </cell>
          <cell r="D435" t="str">
            <v>ml</v>
          </cell>
          <cell r="E435">
            <v>5259.5400000000009</v>
          </cell>
          <cell r="F435">
            <v>1.5027257142857144</v>
          </cell>
        </row>
        <row r="436">
          <cell r="B436" t="str">
            <v>603-08</v>
          </cell>
          <cell r="C436" t="str">
            <v xml:space="preserve">Fourniture et pose de tuyaux PEHD DN 25 PN 10   </v>
          </cell>
          <cell r="D436" t="str">
            <v>ml</v>
          </cell>
          <cell r="E436">
            <v>4154.7000000000007</v>
          </cell>
          <cell r="F436">
            <v>1.187057142857143</v>
          </cell>
        </row>
        <row r="438">
          <cell r="B438" t="str">
            <v>603-10</v>
          </cell>
          <cell r="C438" t="str">
            <v>FOURNITURE EN TUYAUTERIE GALVA</v>
          </cell>
        </row>
        <row r="439">
          <cell r="B439" t="str">
            <v>603-11</v>
          </cell>
          <cell r="C439" t="str">
            <v>Fourniture de tuyaux galvanisés 100/114</v>
          </cell>
          <cell r="D439" t="str">
            <v>ml</v>
          </cell>
          <cell r="E439">
            <v>56896.551724137935</v>
          </cell>
        </row>
        <row r="440">
          <cell r="B440" t="str">
            <v>603-12</v>
          </cell>
          <cell r="C440" t="str">
            <v>Fourniture de tuyaux galvanisés 80/90</v>
          </cell>
          <cell r="D440" t="str">
            <v>ml</v>
          </cell>
          <cell r="E440">
            <v>33663.793103448283</v>
          </cell>
          <cell r="F440">
            <v>9.6182266009852242</v>
          </cell>
        </row>
        <row r="441">
          <cell r="B441" t="str">
            <v>603-13</v>
          </cell>
          <cell r="C441" t="str">
            <v>Fourniture de tuyaux galvanisés 66/76</v>
          </cell>
          <cell r="D441" t="str">
            <v>ml</v>
          </cell>
          <cell r="E441">
            <v>27583.448275862069</v>
          </cell>
          <cell r="F441">
            <v>7.8809852216748766</v>
          </cell>
        </row>
        <row r="442">
          <cell r="B442" t="str">
            <v>603-14</v>
          </cell>
          <cell r="C442" t="str">
            <v>Fourniture de tuyaux galvanisés 50/60</v>
          </cell>
          <cell r="D442" t="str">
            <v>ml</v>
          </cell>
          <cell r="E442">
            <v>18480</v>
          </cell>
          <cell r="F442">
            <v>5.28</v>
          </cell>
        </row>
        <row r="443">
          <cell r="B443" t="str">
            <v>603-15</v>
          </cell>
          <cell r="C443" t="str">
            <v>Fourniture de tuyaux galvanisés 40/49</v>
          </cell>
          <cell r="D443" t="str">
            <v>ml</v>
          </cell>
          <cell r="E443">
            <v>13973.793103448277</v>
          </cell>
          <cell r="F443">
            <v>3.9925123152709365</v>
          </cell>
        </row>
        <row r="444">
          <cell r="B444" t="str">
            <v>603-16</v>
          </cell>
          <cell r="C444" t="str">
            <v>Fourniture de tuyaux galvanisés 33/42</v>
          </cell>
          <cell r="D444" t="str">
            <v>ml</v>
          </cell>
          <cell r="E444">
            <v>11493.103448275862</v>
          </cell>
          <cell r="F444">
            <v>3.2837438423645322</v>
          </cell>
        </row>
        <row r="445">
          <cell r="B445" t="str">
            <v>603-17</v>
          </cell>
          <cell r="C445" t="str">
            <v>Fourniture de tuyaux galvanisés 26/33</v>
          </cell>
          <cell r="D445" t="str">
            <v>ml</v>
          </cell>
          <cell r="E445">
            <v>8011.0344827586223</v>
          </cell>
          <cell r="F445">
            <v>2.2888669950738922</v>
          </cell>
        </row>
        <row r="446">
          <cell r="B446" t="str">
            <v>603-18</v>
          </cell>
          <cell r="C446" t="str">
            <v>Fourniture de tuyaux galvanisés 20/27</v>
          </cell>
          <cell r="D446" t="str">
            <v>ml</v>
          </cell>
          <cell r="E446">
            <v>5879.3103448275861</v>
          </cell>
          <cell r="F446">
            <v>1.6798029556650247</v>
          </cell>
        </row>
        <row r="447">
          <cell r="B447" t="str">
            <v>603-19</v>
          </cell>
          <cell r="C447" t="str">
            <v>Fourniture de tuyaux galvanisés 15/21</v>
          </cell>
          <cell r="D447" t="str">
            <v>ml</v>
          </cell>
          <cell r="E447">
            <v>3982.7586206896558</v>
          </cell>
        </row>
        <row r="450">
          <cell r="B450">
            <v>604</v>
          </cell>
          <cell r="C450" t="str">
            <v>FOURNITURE ET POSE TUYAUTERIES GALVA</v>
          </cell>
        </row>
        <row r="451">
          <cell r="B451" t="str">
            <v>604-01</v>
          </cell>
          <cell r="C451" t="str">
            <v>Fourniture et pose de tuyaux galvanisés 100/114  y compris toutes accesoires</v>
          </cell>
          <cell r="D451" t="str">
            <v>ml</v>
          </cell>
          <cell r="E451">
            <v>121324.5</v>
          </cell>
          <cell r="F451">
            <v>34.664142857142856</v>
          </cell>
        </row>
        <row r="452">
          <cell r="B452" t="str">
            <v>604-02</v>
          </cell>
          <cell r="C452" t="str">
            <v>Fourniture et pose de tuyaux galvanisés 80/90  y compris toutes accesoires</v>
          </cell>
          <cell r="D452" t="str">
            <v>ml</v>
          </cell>
          <cell r="E452">
            <v>66891</v>
          </cell>
          <cell r="F452">
            <v>19.111714285714285</v>
          </cell>
        </row>
        <row r="453">
          <cell r="B453" t="str">
            <v>604-03</v>
          </cell>
          <cell r="C453" t="str">
            <v>Fourniture et pose de tuyaux galvanisés 66/76  y compris toutes accesoires</v>
          </cell>
          <cell r="D453" t="str">
            <v>ml</v>
          </cell>
          <cell r="E453">
            <v>58542.000000000007</v>
          </cell>
          <cell r="F453">
            <v>16.726285714285716</v>
          </cell>
        </row>
        <row r="454">
          <cell r="B454" t="str">
            <v>604-04</v>
          </cell>
          <cell r="C454" t="str">
            <v>Fourniture et pose de tuyaux galvanisés 50/60  y compris toutes accesoires</v>
          </cell>
          <cell r="D454" t="str">
            <v>ml</v>
          </cell>
          <cell r="E454">
            <v>47124.000000000007</v>
          </cell>
          <cell r="F454">
            <v>13.464000000000002</v>
          </cell>
        </row>
        <row r="455">
          <cell r="B455" t="str">
            <v>604-05</v>
          </cell>
          <cell r="C455" t="str">
            <v>Fourniture et pose de tuyaux galvanisés 40/49  y compris toutes accesoires</v>
          </cell>
          <cell r="D455" t="str">
            <v>ml</v>
          </cell>
          <cell r="E455">
            <v>42537</v>
          </cell>
          <cell r="F455">
            <v>12.153428571428572</v>
          </cell>
        </row>
        <row r="456">
          <cell r="B456" t="str">
            <v>604-06</v>
          </cell>
          <cell r="C456" t="str">
            <v>Fourniture et pose de tuyaux galvanisés 33/42  y compris toutes accesoires</v>
          </cell>
          <cell r="D456" t="str">
            <v>ml</v>
          </cell>
          <cell r="E456">
            <v>27324</v>
          </cell>
          <cell r="F456">
            <v>7.8068571428571429</v>
          </cell>
        </row>
        <row r="457">
          <cell r="B457" t="str">
            <v>604-07</v>
          </cell>
          <cell r="C457" t="str">
            <v>Fourniture et pose de tuyaux galvanisés 26/33  y compris toutes accesoires</v>
          </cell>
          <cell r="D457" t="str">
            <v>ml</v>
          </cell>
          <cell r="E457">
            <v>20295</v>
          </cell>
          <cell r="F457">
            <v>5.7985714285714289</v>
          </cell>
        </row>
        <row r="458">
          <cell r="B458" t="str">
            <v>604-08</v>
          </cell>
          <cell r="C458" t="str">
            <v>Fourniture et pose de tuyaux galvanisés 20/27  y compris toutes accesoires</v>
          </cell>
          <cell r="D458" t="str">
            <v>ml</v>
          </cell>
          <cell r="E458">
            <v>16038.000000000002</v>
          </cell>
          <cell r="F458">
            <v>4.5822857142857147</v>
          </cell>
        </row>
        <row r="459">
          <cell r="B459" t="str">
            <v>604-09</v>
          </cell>
          <cell r="C459" t="str">
            <v>Fourniture et pose de tuyaux galvanisés 15/21  y compris toutes accesoires</v>
          </cell>
          <cell r="D459" t="str">
            <v>ml</v>
          </cell>
          <cell r="E459">
            <v>12754.5</v>
          </cell>
          <cell r="F459">
            <v>3.6441428571428571</v>
          </cell>
        </row>
        <row r="460">
          <cell r="B460" t="str">
            <v>604-10</v>
          </cell>
          <cell r="C460" t="str">
            <v>Fourniture et pose de tuyau galva f 15/21, y compris tout accessoire de raccordement (Té, coude, …)</v>
          </cell>
          <cell r="D460" t="str">
            <v>ml</v>
          </cell>
          <cell r="E460">
            <v>12500</v>
          </cell>
          <cell r="F460">
            <v>3.5714285714285716</v>
          </cell>
        </row>
        <row r="462">
          <cell r="B462">
            <v>605</v>
          </cell>
          <cell r="C462" t="str">
            <v xml:space="preserve"> FOURNITURE ET POSE FONTE DUCTILE </v>
          </cell>
        </row>
        <row r="463">
          <cell r="B463" t="str">
            <v>605-01</v>
          </cell>
          <cell r="C463" t="str">
            <v>Fourniture et pose de tuyaux fonte ductile DN200</v>
          </cell>
          <cell r="D463" t="str">
            <v>ml</v>
          </cell>
          <cell r="E463">
            <v>342210</v>
          </cell>
          <cell r="F463">
            <v>97.77428571428571</v>
          </cell>
        </row>
        <row r="464">
          <cell r="B464" t="str">
            <v>605-02</v>
          </cell>
          <cell r="C464" t="str">
            <v>Fourniture et pose  de tuyaux fonte ductile DN150</v>
          </cell>
          <cell r="D464" t="str">
            <v>ml</v>
          </cell>
          <cell r="E464">
            <v>201300</v>
          </cell>
          <cell r="F464">
            <v>57.514285714285712</v>
          </cell>
        </row>
        <row r="465">
          <cell r="B465" t="str">
            <v>605-03</v>
          </cell>
          <cell r="C465" t="str">
            <v>Fourniture et pose de tuyaux fonte ductile DN125</v>
          </cell>
          <cell r="D465" t="str">
            <v>ml</v>
          </cell>
          <cell r="E465">
            <v>199650</v>
          </cell>
        </row>
        <row r="468">
          <cell r="B468" t="str">
            <v>700</v>
          </cell>
          <cell r="C468" t="str">
            <v>SERIE 700 - ROBINETERIES ET ACCESSOIRES</v>
          </cell>
        </row>
        <row r="470">
          <cell r="F470">
            <v>0</v>
          </cell>
        </row>
        <row r="471">
          <cell r="B471">
            <v>710</v>
          </cell>
          <cell r="C471" t="str">
            <v>FOURNITURE ET POSE ACCESSOIRES PEHD</v>
          </cell>
          <cell r="F471">
            <v>0</v>
          </cell>
        </row>
        <row r="472">
          <cell r="B472" t="str">
            <v>710-01</v>
          </cell>
          <cell r="C472" t="str">
            <v>Fourniture et pose de Manchon SR12 DN110</v>
          </cell>
          <cell r="D472" t="str">
            <v>U</v>
          </cell>
          <cell r="E472">
            <v>253743.6</v>
          </cell>
          <cell r="F472">
            <v>72.498171428571425</v>
          </cell>
        </row>
        <row r="473">
          <cell r="B473" t="str">
            <v>710-02</v>
          </cell>
          <cell r="C473" t="str">
            <v>Fourniture et pose de Manchon SR12 DN90</v>
          </cell>
          <cell r="D473" t="str">
            <v>U</v>
          </cell>
          <cell r="E473">
            <v>112151.424</v>
          </cell>
          <cell r="F473">
            <v>32.043264000000001</v>
          </cell>
        </row>
        <row r="474">
          <cell r="B474" t="str">
            <v>710-03</v>
          </cell>
          <cell r="C474" t="str">
            <v>Fourniture et pose de Manchon SR12 DN75</v>
          </cell>
          <cell r="D474" t="str">
            <v>U</v>
          </cell>
          <cell r="E474">
            <v>76768.032000000007</v>
          </cell>
          <cell r="F474">
            <v>21.93372342857143</v>
          </cell>
        </row>
        <row r="475">
          <cell r="B475" t="str">
            <v>710-04</v>
          </cell>
          <cell r="C475" t="str">
            <v>Fourniture et pose de Manchon SR12 DN63</v>
          </cell>
          <cell r="D475" t="str">
            <v>U</v>
          </cell>
          <cell r="E475">
            <v>36637.392</v>
          </cell>
          <cell r="F475">
            <v>10.467826285714287</v>
          </cell>
        </row>
        <row r="476">
          <cell r="B476" t="str">
            <v>710-05</v>
          </cell>
          <cell r="C476" t="str">
            <v>Fourniture et pose de Manchon SR12 DN50</v>
          </cell>
          <cell r="D476" t="str">
            <v>U</v>
          </cell>
          <cell r="E476">
            <v>28730.064000000002</v>
          </cell>
          <cell r="F476">
            <v>8.2085897142857149</v>
          </cell>
        </row>
        <row r="477">
          <cell r="B477" t="str">
            <v>710-06</v>
          </cell>
          <cell r="C477" t="str">
            <v>Fourniture et pose de Manchon SR12 DN40</v>
          </cell>
          <cell r="D477" t="str">
            <v>U</v>
          </cell>
          <cell r="E477">
            <v>18451.488000000001</v>
          </cell>
          <cell r="F477">
            <v>5.2718537142857143</v>
          </cell>
        </row>
        <row r="478">
          <cell r="B478" t="str">
            <v>710-07</v>
          </cell>
          <cell r="C478" t="str">
            <v>Fourniture et pose de Manchon SR12 DN32</v>
          </cell>
          <cell r="D478" t="str">
            <v>U</v>
          </cell>
          <cell r="E478">
            <v>12720.575999999999</v>
          </cell>
          <cell r="F478">
            <v>3.6344502857142853</v>
          </cell>
        </row>
        <row r="479">
          <cell r="B479" t="str">
            <v>710-08</v>
          </cell>
          <cell r="C479" t="str">
            <v>Fourniture et pose de Manchon SR12 DN25</v>
          </cell>
          <cell r="D479" t="str">
            <v>U</v>
          </cell>
          <cell r="E479">
            <v>9755.3279999999995</v>
          </cell>
          <cell r="F479">
            <v>2.7872365714285712</v>
          </cell>
        </row>
        <row r="480">
          <cell r="B480" t="str">
            <v>710-09</v>
          </cell>
          <cell r="C480" t="str">
            <v>Fourniture et pose de Manchon SR12 DN20</v>
          </cell>
          <cell r="D480" t="str">
            <v>U</v>
          </cell>
          <cell r="E480">
            <v>7578.9119999999994</v>
          </cell>
          <cell r="F480">
            <v>2.1654034285714285</v>
          </cell>
        </row>
        <row r="481">
          <cell r="B481" t="str">
            <v>710-10</v>
          </cell>
          <cell r="C481" t="str">
            <v>Fourniture et pose de Manchon Mixtes Mâles SR13 DN90</v>
          </cell>
          <cell r="D481" t="str">
            <v>U</v>
          </cell>
          <cell r="E481">
            <v>54888.240000000005</v>
          </cell>
          <cell r="F481">
            <v>15.682354285714288</v>
          </cell>
        </row>
        <row r="482">
          <cell r="B482" t="str">
            <v>710-11</v>
          </cell>
          <cell r="C482" t="str">
            <v>Fourniture et pose de Manchon Mixtes Mâles SR13 DN75</v>
          </cell>
          <cell r="D482" t="str">
            <v>U</v>
          </cell>
          <cell r="E482">
            <v>54888.240000000005</v>
          </cell>
          <cell r="F482">
            <v>15.682354285714288</v>
          </cell>
        </row>
        <row r="483">
          <cell r="B483" t="str">
            <v>710-12</v>
          </cell>
          <cell r="C483" t="str">
            <v>Fourniture et pose de Manchon Mixtes Mâles SR13 DN63</v>
          </cell>
          <cell r="D483" t="str">
            <v>U</v>
          </cell>
          <cell r="E483">
            <v>27774.912</v>
          </cell>
          <cell r="F483">
            <v>7.935689142857143</v>
          </cell>
        </row>
        <row r="484">
          <cell r="B484" t="str">
            <v>710-13</v>
          </cell>
          <cell r="C484" t="str">
            <v>Fourniture et pose de Manchon Mixtes Mâles SR13 DN50</v>
          </cell>
          <cell r="D484" t="str">
            <v>U</v>
          </cell>
          <cell r="E484">
            <v>17545.440000000002</v>
          </cell>
          <cell r="F484">
            <v>5.0129828571428581</v>
          </cell>
        </row>
        <row r="485">
          <cell r="B485" t="str">
            <v>710-14</v>
          </cell>
          <cell r="C485" t="str">
            <v>Fourniture et pose de Manchon Mixtes Mâles SR13 DN40</v>
          </cell>
          <cell r="D485" t="str">
            <v>U</v>
          </cell>
          <cell r="E485">
            <v>14298.24</v>
          </cell>
          <cell r="F485">
            <v>4.0852114285714283</v>
          </cell>
        </row>
        <row r="486">
          <cell r="B486" t="str">
            <v>710-15</v>
          </cell>
          <cell r="C486" t="str">
            <v>Fourniture et pose de Manchon Mixtes Mâles SR13 DN32</v>
          </cell>
          <cell r="D486" t="str">
            <v>U</v>
          </cell>
          <cell r="E486">
            <v>10240.031999999999</v>
          </cell>
          <cell r="F486">
            <v>2.9257234285714282</v>
          </cell>
        </row>
        <row r="487">
          <cell r="B487" t="str">
            <v>710-16</v>
          </cell>
          <cell r="C487" t="str">
            <v>Fourniture et pose de Manchon Mixtes Mâles SR13 DN25</v>
          </cell>
          <cell r="D487" t="str">
            <v>U</v>
          </cell>
          <cell r="E487">
            <v>7803.84</v>
          </cell>
          <cell r="F487">
            <v>2.2296685714285713</v>
          </cell>
        </row>
        <row r="488">
          <cell r="B488" t="str">
            <v>710-17</v>
          </cell>
          <cell r="C488" t="str">
            <v>Fourniture et pose de Manchon Mixtes Mâles SR13 DN20</v>
          </cell>
          <cell r="D488" t="str">
            <v>U</v>
          </cell>
          <cell r="E488">
            <v>7192.4160000000002</v>
          </cell>
          <cell r="F488">
            <v>2.0549759999999999</v>
          </cell>
        </row>
        <row r="489">
          <cell r="B489" t="str">
            <v>710-18</v>
          </cell>
          <cell r="C489" t="str">
            <v>Fourniture et pose de Manchon mixte femelle SR 14 DN110</v>
          </cell>
          <cell r="D489" t="str">
            <v>U</v>
          </cell>
          <cell r="E489">
            <v>116304.67199999999</v>
          </cell>
          <cell r="F489">
            <v>33.229906285714286</v>
          </cell>
        </row>
        <row r="490">
          <cell r="B490" t="str">
            <v>710-19</v>
          </cell>
          <cell r="C490" t="str">
            <v>Fourniture et pose de Manchon mixte femelle SR 14 DN90</v>
          </cell>
          <cell r="D490" t="str">
            <v>U</v>
          </cell>
          <cell r="E490">
            <v>88334.400000000009</v>
          </cell>
          <cell r="F490">
            <v>25.238400000000002</v>
          </cell>
        </row>
        <row r="491">
          <cell r="B491" t="str">
            <v>710-20</v>
          </cell>
          <cell r="C491" t="str">
            <v>Fourniture et pose de Manchon mixte femelle SR 14 DN75</v>
          </cell>
          <cell r="D491" t="str">
            <v>U</v>
          </cell>
          <cell r="E491">
            <v>63169.392</v>
          </cell>
          <cell r="F491">
            <v>18.048397714285713</v>
          </cell>
        </row>
        <row r="492">
          <cell r="B492" t="str">
            <v>710-21</v>
          </cell>
          <cell r="C492" t="str">
            <v>Fourniture et pose de Manchon mixte femelle SR 14 DN63</v>
          </cell>
          <cell r="D492" t="str">
            <v>U</v>
          </cell>
          <cell r="E492">
            <v>31508.400000000001</v>
          </cell>
          <cell r="F492">
            <v>9.0023999999999997</v>
          </cell>
        </row>
        <row r="493">
          <cell r="B493" t="str">
            <v>710-22</v>
          </cell>
          <cell r="C493" t="str">
            <v>Fourniture et pose de Manchon mixte femelle SR 14 DN50</v>
          </cell>
          <cell r="D493" t="str">
            <v>U</v>
          </cell>
          <cell r="E493">
            <v>23390.400000000001</v>
          </cell>
          <cell r="F493">
            <v>6.6829714285714292</v>
          </cell>
        </row>
        <row r="494">
          <cell r="B494" t="str">
            <v>710-23</v>
          </cell>
          <cell r="C494" t="str">
            <v>Fourniture et pose de Manchon mixte femelle SR 14 DN40</v>
          </cell>
          <cell r="D494" t="str">
            <v>U</v>
          </cell>
          <cell r="E494">
            <v>16896</v>
          </cell>
          <cell r="F494">
            <v>4.8274285714285714</v>
          </cell>
        </row>
        <row r="495">
          <cell r="B495" t="str">
            <v>710-24</v>
          </cell>
          <cell r="C495" t="str">
            <v>Fourniture et pose de Manchon mixte femelle SR 14 DN32</v>
          </cell>
          <cell r="D495" t="str">
            <v>U</v>
          </cell>
          <cell r="E495">
            <v>12025.2</v>
          </cell>
          <cell r="F495">
            <v>3.4357714285714289</v>
          </cell>
        </row>
        <row r="496">
          <cell r="B496" t="str">
            <v>710-25</v>
          </cell>
          <cell r="C496" t="str">
            <v>Fourniture et pose de Manchon mixte femelle SR 14 DN25</v>
          </cell>
          <cell r="D496" t="str">
            <v>U</v>
          </cell>
          <cell r="E496">
            <v>9590.5920000000006</v>
          </cell>
          <cell r="F496">
            <v>2.7401691428571429</v>
          </cell>
        </row>
        <row r="497">
          <cell r="B497" t="str">
            <v>710-26</v>
          </cell>
          <cell r="C497" t="str">
            <v>Fourniture et pose de Manchon mixte femelle SR 14 DN20</v>
          </cell>
          <cell r="D497" t="str">
            <v>U</v>
          </cell>
          <cell r="E497">
            <v>6872.4479999999994</v>
          </cell>
          <cell r="F497">
            <v>1.9635565714285712</v>
          </cell>
        </row>
        <row r="498">
          <cell r="B498" t="str">
            <v>710-27</v>
          </cell>
          <cell r="C498" t="str">
            <v>Fourniture et pose de manchon réduit 110X90</v>
          </cell>
          <cell r="D498" t="str">
            <v>U</v>
          </cell>
          <cell r="E498">
            <v>275347.77600000001</v>
          </cell>
          <cell r="F498">
            <v>78.67079314285715</v>
          </cell>
        </row>
        <row r="499">
          <cell r="B499" t="str">
            <v>710-28</v>
          </cell>
          <cell r="C499" t="str">
            <v>Fourniture et pose de manchon réduit 90X75</v>
          </cell>
          <cell r="D499" t="str">
            <v>U</v>
          </cell>
          <cell r="E499">
            <v>143823.50400000002</v>
          </cell>
          <cell r="F499">
            <v>41.092429714285721</v>
          </cell>
        </row>
        <row r="500">
          <cell r="B500" t="str">
            <v>710-29</v>
          </cell>
          <cell r="C500" t="str">
            <v>Fourniture et pose de manchon réduit 90X63</v>
          </cell>
          <cell r="D500" t="str">
            <v>U</v>
          </cell>
          <cell r="E500">
            <v>144510.96000000002</v>
          </cell>
          <cell r="F500">
            <v>41.288845714285721</v>
          </cell>
        </row>
        <row r="501">
          <cell r="B501" t="str">
            <v>710-30</v>
          </cell>
          <cell r="C501" t="str">
            <v>Fourniture et pose de manchon réduit 75/63</v>
          </cell>
          <cell r="D501" t="str">
            <v>U</v>
          </cell>
          <cell r="E501">
            <v>89308.56</v>
          </cell>
          <cell r="F501">
            <v>25.516731428571429</v>
          </cell>
        </row>
        <row r="502">
          <cell r="B502" t="str">
            <v>710-31</v>
          </cell>
          <cell r="C502" t="str">
            <v>Fourniture et pose de manchon réduit 75/50</v>
          </cell>
          <cell r="D502" t="str">
            <v>U</v>
          </cell>
          <cell r="E502">
            <v>81028.991999999998</v>
          </cell>
          <cell r="F502">
            <v>23.15114057142857</v>
          </cell>
        </row>
        <row r="503">
          <cell r="B503" t="str">
            <v>710-32</v>
          </cell>
          <cell r="C503" t="str">
            <v>Fourniture et pose de manchon réduit 63/50</v>
          </cell>
          <cell r="D503" t="str">
            <v>U</v>
          </cell>
          <cell r="E503">
            <v>36054.480000000003</v>
          </cell>
          <cell r="F503">
            <v>10.30128</v>
          </cell>
        </row>
        <row r="504">
          <cell r="B504" t="str">
            <v>710-33</v>
          </cell>
          <cell r="C504" t="str">
            <v>Fourniture et pose de manchon réduit 63/40</v>
          </cell>
          <cell r="D504" t="str">
            <v>U</v>
          </cell>
          <cell r="E504">
            <v>35729.760000000002</v>
          </cell>
          <cell r="F504">
            <v>10.208502857142857</v>
          </cell>
        </row>
        <row r="505">
          <cell r="B505" t="str">
            <v>710-34</v>
          </cell>
          <cell r="C505" t="str">
            <v>Fourniture et pose de manchon réduit 63/32</v>
          </cell>
          <cell r="D505" t="str">
            <v>U</v>
          </cell>
          <cell r="E505">
            <v>51479.472000000002</v>
          </cell>
          <cell r="F505">
            <v>14.708420571428572</v>
          </cell>
        </row>
        <row r="506">
          <cell r="B506" t="str">
            <v>710-35</v>
          </cell>
          <cell r="C506" t="str">
            <v>Fourniture et pose de manchon réduit 63/25</v>
          </cell>
          <cell r="D506" t="str">
            <v>U</v>
          </cell>
          <cell r="E506">
            <v>49043.28</v>
          </cell>
          <cell r="F506">
            <v>14.012365714285714</v>
          </cell>
        </row>
        <row r="507">
          <cell r="B507" t="str">
            <v>710-36</v>
          </cell>
          <cell r="C507" t="str">
            <v>Fourniture et pose de manchon réduit 50/40</v>
          </cell>
          <cell r="D507" t="str">
            <v>U</v>
          </cell>
          <cell r="E507">
            <v>29560.080000000002</v>
          </cell>
          <cell r="F507">
            <v>8.4457371428571442</v>
          </cell>
        </row>
        <row r="508">
          <cell r="B508" t="str">
            <v>710-37</v>
          </cell>
          <cell r="C508" t="str">
            <v>Fourniture et pose de manchon réduit 50/32</v>
          </cell>
          <cell r="D508" t="str">
            <v>U</v>
          </cell>
          <cell r="E508">
            <v>29235.360000000001</v>
          </cell>
          <cell r="F508">
            <v>8.3529599999999995</v>
          </cell>
        </row>
        <row r="509">
          <cell r="B509" t="str">
            <v>710-38</v>
          </cell>
          <cell r="C509" t="str">
            <v>Fourniture et pose de manchon réduit 50/25</v>
          </cell>
          <cell r="D509" t="str">
            <v>U</v>
          </cell>
          <cell r="E509">
            <v>34594.031999999999</v>
          </cell>
          <cell r="F509">
            <v>9.8840091428571419</v>
          </cell>
        </row>
        <row r="510">
          <cell r="B510" t="str">
            <v>710-39</v>
          </cell>
          <cell r="C510" t="str">
            <v>Fourniture et pose de manchon réduit 40/32</v>
          </cell>
          <cell r="D510" t="str">
            <v>U</v>
          </cell>
          <cell r="E510">
            <v>20467.920000000002</v>
          </cell>
          <cell r="F510">
            <v>5.8479771428571432</v>
          </cell>
        </row>
        <row r="511">
          <cell r="B511" t="str">
            <v>710-40</v>
          </cell>
          <cell r="C511" t="str">
            <v>Fourniture et pose de manchon réduit 40/25</v>
          </cell>
          <cell r="D511" t="str">
            <v>U</v>
          </cell>
          <cell r="E511">
            <v>19332.192000000003</v>
          </cell>
          <cell r="F511">
            <v>5.5234834285714296</v>
          </cell>
        </row>
        <row r="512">
          <cell r="B512" t="str">
            <v>710-41</v>
          </cell>
          <cell r="C512" t="str">
            <v>Fourniture et pose de manchon réduit 32/25</v>
          </cell>
          <cell r="D512" t="str">
            <v>U</v>
          </cell>
          <cell r="E512">
            <v>14298.24</v>
          </cell>
          <cell r="F512">
            <v>4.0852114285714283</v>
          </cell>
        </row>
        <row r="513">
          <cell r="B513" t="str">
            <v>710-42</v>
          </cell>
          <cell r="C513" t="str">
            <v>Fourniture et pose de manchon réduit 32/20</v>
          </cell>
          <cell r="D513" t="str">
            <v>U</v>
          </cell>
          <cell r="E513">
            <v>13726.415999999999</v>
          </cell>
          <cell r="F513">
            <v>3.9218331428571425</v>
          </cell>
        </row>
        <row r="514">
          <cell r="B514" t="str">
            <v>710-43</v>
          </cell>
          <cell r="C514" t="str">
            <v>Fourniture et pose de manchon réduit 25/20</v>
          </cell>
          <cell r="D514" t="str">
            <v>U</v>
          </cell>
          <cell r="E514">
            <v>12170.928</v>
          </cell>
          <cell r="F514">
            <v>3.4774080000000001</v>
          </cell>
        </row>
        <row r="515">
          <cell r="B515" t="str">
            <v>710-44</v>
          </cell>
          <cell r="C515" t="str">
            <v>Fourniture et pose de Coude 90° DN110</v>
          </cell>
          <cell r="D515" t="str">
            <v>U</v>
          </cell>
          <cell r="E515">
            <v>104042.40000000001</v>
          </cell>
          <cell r="F515">
            <v>29.726400000000002</v>
          </cell>
        </row>
        <row r="516">
          <cell r="B516" t="str">
            <v>710-45</v>
          </cell>
          <cell r="C516" t="str">
            <v>Fourniture et pose de Coude 90° DN90</v>
          </cell>
          <cell r="D516" t="str">
            <v>U</v>
          </cell>
          <cell r="E516">
            <v>48602.400000000001</v>
          </cell>
          <cell r="F516">
            <v>13.8864</v>
          </cell>
        </row>
        <row r="517">
          <cell r="B517" t="str">
            <v>710-46</v>
          </cell>
          <cell r="C517" t="str">
            <v>Fourniture et pose de Coude 90° DN75</v>
          </cell>
          <cell r="D517" t="str">
            <v>U</v>
          </cell>
          <cell r="E517">
            <v>26901.600000000002</v>
          </cell>
          <cell r="F517">
            <v>7.6861714285714289</v>
          </cell>
        </row>
        <row r="518">
          <cell r="B518" t="str">
            <v>710-47</v>
          </cell>
          <cell r="C518" t="str">
            <v>Fourniture et pose de Coude 90° DN63</v>
          </cell>
          <cell r="D518" t="str">
            <v>U</v>
          </cell>
          <cell r="E518">
            <v>26901.600000000002</v>
          </cell>
          <cell r="F518">
            <v>7.6861714285714289</v>
          </cell>
        </row>
        <row r="519">
          <cell r="B519" t="str">
            <v>710-48</v>
          </cell>
          <cell r="C519" t="str">
            <v>Fourniture et pose de Coude 90° DN50</v>
          </cell>
          <cell r="D519" t="str">
            <v>U</v>
          </cell>
          <cell r="E519">
            <v>21357.600000000002</v>
          </cell>
          <cell r="F519">
            <v>6.1021714285714292</v>
          </cell>
        </row>
        <row r="520">
          <cell r="B520" t="str">
            <v>710-49</v>
          </cell>
          <cell r="C520" t="str">
            <v>Fourniture et pose de Coude 90° DN40</v>
          </cell>
          <cell r="D520" t="str">
            <v>U</v>
          </cell>
          <cell r="E520">
            <v>13120.800000000001</v>
          </cell>
          <cell r="F520">
            <v>3.7488000000000001</v>
          </cell>
        </row>
        <row r="521">
          <cell r="B521" t="str">
            <v>710-50</v>
          </cell>
          <cell r="C521" t="str">
            <v>Fourniture et pose de Coude 90° DN32</v>
          </cell>
          <cell r="D521" t="str">
            <v>U</v>
          </cell>
          <cell r="E521">
            <v>6626.4000000000005</v>
          </cell>
          <cell r="F521">
            <v>1.893257142857143</v>
          </cell>
        </row>
        <row r="522">
          <cell r="B522" t="str">
            <v>710-51</v>
          </cell>
          <cell r="C522" t="str">
            <v>Fourniture et pose de Coude 90° DN25</v>
          </cell>
          <cell r="D522" t="str">
            <v>U</v>
          </cell>
          <cell r="E522">
            <v>5042.4000000000005</v>
          </cell>
          <cell r="F522">
            <v>1.4406857142857143</v>
          </cell>
        </row>
        <row r="523">
          <cell r="B523" t="str">
            <v>710-52</v>
          </cell>
          <cell r="C523" t="str">
            <v>Fourniture et pose de Coude 90° DN20</v>
          </cell>
          <cell r="D523" t="str">
            <v>U</v>
          </cell>
          <cell r="E523">
            <v>3854.4</v>
          </cell>
          <cell r="F523">
            <v>1.1012571428571429</v>
          </cell>
        </row>
        <row r="524">
          <cell r="B524" t="str">
            <v>710-53</v>
          </cell>
          <cell r="C524" t="str">
            <v>Fourniture et pose de Coude 90° taraudée 63</v>
          </cell>
          <cell r="D524" t="str">
            <v>U</v>
          </cell>
          <cell r="E524">
            <v>37725.599999999999</v>
          </cell>
          <cell r="F524">
            <v>10.778742857142857</v>
          </cell>
        </row>
        <row r="525">
          <cell r="B525" t="str">
            <v>710-54</v>
          </cell>
          <cell r="C525" t="str">
            <v>Fourniture et pose de Coude 90° taraudée 50</v>
          </cell>
          <cell r="D525" t="str">
            <v>U</v>
          </cell>
          <cell r="E525">
            <v>29900.640000000003</v>
          </cell>
          <cell r="F525">
            <v>8.5430400000000013</v>
          </cell>
        </row>
        <row r="526">
          <cell r="B526" t="str">
            <v>710-55</v>
          </cell>
          <cell r="C526" t="str">
            <v>Fourniture et pose de Coude 90° taraudée 40</v>
          </cell>
          <cell r="D526" t="str">
            <v>U</v>
          </cell>
          <cell r="E526">
            <v>22281.600000000002</v>
          </cell>
          <cell r="F526">
            <v>6.3661714285714295</v>
          </cell>
        </row>
        <row r="527">
          <cell r="B527" t="str">
            <v>710-56</v>
          </cell>
          <cell r="C527" t="str">
            <v>Fourniture et pose de Coude 90° taraudée 32</v>
          </cell>
          <cell r="D527" t="str">
            <v>U</v>
          </cell>
          <cell r="E527">
            <v>15074.400000000001</v>
          </cell>
          <cell r="F527">
            <v>4.3069714285714289</v>
          </cell>
        </row>
        <row r="528">
          <cell r="B528" t="str">
            <v>710-57</v>
          </cell>
          <cell r="C528" t="str">
            <v>Fourniture et pose de Coude 90° taraudée 25</v>
          </cell>
          <cell r="D528" t="str">
            <v>U</v>
          </cell>
          <cell r="E528">
            <v>11985.6</v>
          </cell>
          <cell r="F528">
            <v>3.4244571428571429</v>
          </cell>
        </row>
        <row r="529">
          <cell r="B529" t="str">
            <v>710-58</v>
          </cell>
          <cell r="C529" t="str">
            <v>Fourniture et pose de Coude 90° taraudée 20</v>
          </cell>
          <cell r="D529" t="str">
            <v>U</v>
          </cell>
          <cell r="E529">
            <v>9102.7200000000012</v>
          </cell>
          <cell r="F529">
            <v>2.6007771428571433</v>
          </cell>
        </row>
        <row r="530">
          <cell r="B530" t="str">
            <v>710-59</v>
          </cell>
          <cell r="C530" t="str">
            <v>Fourniture et pose de Tés égaux 90° DN 110</v>
          </cell>
          <cell r="D530" t="str">
            <v>U</v>
          </cell>
          <cell r="E530">
            <v>474512.016</v>
          </cell>
          <cell r="F530">
            <v>135.5748617142857</v>
          </cell>
        </row>
        <row r="531">
          <cell r="B531" t="str">
            <v>710-60</v>
          </cell>
          <cell r="C531" t="str">
            <v>Fourniture et pose de Tés égaux 90° DN 90</v>
          </cell>
          <cell r="D531" t="str">
            <v>U</v>
          </cell>
          <cell r="E531">
            <v>217572.96000000002</v>
          </cell>
          <cell r="F531">
            <v>62.163702857142866</v>
          </cell>
        </row>
        <row r="532">
          <cell r="B532" t="str">
            <v>710-61</v>
          </cell>
          <cell r="C532" t="str">
            <v>Fourniture et pose de Tés égaux 90° DN 75</v>
          </cell>
          <cell r="D532" t="str">
            <v>U</v>
          </cell>
          <cell r="E532">
            <v>147271.872</v>
          </cell>
          <cell r="F532">
            <v>42.077677714285713</v>
          </cell>
        </row>
        <row r="533">
          <cell r="B533" t="str">
            <v>710-62</v>
          </cell>
          <cell r="C533" t="str">
            <v>Fourniture et pose de Tés égaux 90° DN 63</v>
          </cell>
          <cell r="D533" t="str">
            <v>U</v>
          </cell>
          <cell r="E533">
            <v>62844.671999999999</v>
          </cell>
          <cell r="F533">
            <v>17.955620571428572</v>
          </cell>
        </row>
        <row r="534">
          <cell r="B534" t="str">
            <v>710-63</v>
          </cell>
          <cell r="C534" t="str">
            <v>Fourniture et pose de Tés égaux 90° DN 50</v>
          </cell>
          <cell r="D534" t="str">
            <v>U</v>
          </cell>
          <cell r="E534">
            <v>50342.16</v>
          </cell>
          <cell r="F534">
            <v>14.383474285714287</v>
          </cell>
        </row>
        <row r="535">
          <cell r="B535" t="str">
            <v>710-64</v>
          </cell>
          <cell r="C535" t="str">
            <v>Fourniture et pose de Tés égaux 90° DN 40</v>
          </cell>
          <cell r="D535" t="str">
            <v>U</v>
          </cell>
          <cell r="E535">
            <v>39951.120000000003</v>
          </cell>
          <cell r="F535">
            <v>11.414605714285715</v>
          </cell>
        </row>
        <row r="536">
          <cell r="B536" t="str">
            <v>710-65</v>
          </cell>
          <cell r="C536" t="str">
            <v>Fourniture et pose de Tés égaux 90° DN 32</v>
          </cell>
          <cell r="D536" t="str">
            <v>U</v>
          </cell>
          <cell r="E536">
            <v>22254.671999999999</v>
          </cell>
          <cell r="F536">
            <v>6.3584777142857138</v>
          </cell>
        </row>
        <row r="537">
          <cell r="B537" t="str">
            <v>710-66</v>
          </cell>
          <cell r="C537" t="str">
            <v>Fourniture et pose de Tés égaux 90° DN 25</v>
          </cell>
          <cell r="D537" t="str">
            <v>U</v>
          </cell>
          <cell r="E537">
            <v>17383.872000000003</v>
          </cell>
          <cell r="F537">
            <v>4.9668205714285723</v>
          </cell>
        </row>
        <row r="538">
          <cell r="B538" t="str">
            <v>710-67</v>
          </cell>
          <cell r="C538" t="str">
            <v>Fourniture et pose de Tés égaux 90° DN 20</v>
          </cell>
          <cell r="D538" t="str">
            <v>U</v>
          </cell>
          <cell r="E538">
            <v>12856.800000000001</v>
          </cell>
          <cell r="F538">
            <v>3.673371428571429</v>
          </cell>
        </row>
        <row r="539">
          <cell r="B539" t="str">
            <v>710-68</v>
          </cell>
          <cell r="C539" t="str">
            <v>Fourniture et pose de Té réduit 110/63/110</v>
          </cell>
          <cell r="D539" t="str">
            <v>U</v>
          </cell>
          <cell r="E539">
            <v>0</v>
          </cell>
          <cell r="F539">
            <v>0</v>
          </cell>
        </row>
        <row r="540">
          <cell r="B540" t="str">
            <v>710-69</v>
          </cell>
          <cell r="C540" t="str">
            <v>Fourniture et pose de Té réduit 90/75/90</v>
          </cell>
          <cell r="D540" t="str">
            <v>U</v>
          </cell>
          <cell r="E540">
            <v>0</v>
          </cell>
          <cell r="F540">
            <v>0</v>
          </cell>
        </row>
        <row r="541">
          <cell r="B541" t="str">
            <v>710-70</v>
          </cell>
          <cell r="C541" t="str">
            <v>Fourniture et pose de Té réduit 90/63/90</v>
          </cell>
          <cell r="D541" t="str">
            <v>U</v>
          </cell>
        </row>
        <row r="542">
          <cell r="B542" t="str">
            <v>710-71</v>
          </cell>
          <cell r="C542" t="str">
            <v>Fourniture et pose de Té réduit 75/63/75</v>
          </cell>
          <cell r="D542" t="str">
            <v>U</v>
          </cell>
          <cell r="E542">
            <v>149478.38399999999</v>
          </cell>
          <cell r="F542">
            <v>42.708109714285712</v>
          </cell>
        </row>
        <row r="543">
          <cell r="B543" t="str">
            <v>710-72</v>
          </cell>
          <cell r="C543" t="str">
            <v>Fourniture et pose de Té réduit 75/50/75</v>
          </cell>
          <cell r="D543" t="str">
            <v>U</v>
          </cell>
          <cell r="E543">
            <v>121587.31199999999</v>
          </cell>
          <cell r="F543">
            <v>34.739231999999994</v>
          </cell>
        </row>
        <row r="544">
          <cell r="B544" t="str">
            <v>710-73</v>
          </cell>
          <cell r="C544" t="str">
            <v>Fourniture et pose de Té réduit 75/40/75</v>
          </cell>
          <cell r="D544" t="str">
            <v>U</v>
          </cell>
          <cell r="E544">
            <v>121587.31199999999</v>
          </cell>
          <cell r="F544">
            <v>34.739231999999994</v>
          </cell>
        </row>
        <row r="545">
          <cell r="B545" t="str">
            <v>710-74</v>
          </cell>
          <cell r="C545" t="str">
            <v>Fourniture et pose de Té réduit 63/50/63</v>
          </cell>
          <cell r="D545" t="str">
            <v>U</v>
          </cell>
          <cell r="E545">
            <v>55475.904000000002</v>
          </cell>
          <cell r="F545">
            <v>15.850258285714286</v>
          </cell>
        </row>
        <row r="546">
          <cell r="B546" t="str">
            <v>710-75</v>
          </cell>
          <cell r="C546" t="str">
            <v>Fourniture et pose de Té réduit 63/40/63</v>
          </cell>
          <cell r="D546" t="str">
            <v>U</v>
          </cell>
          <cell r="E546">
            <v>55475.904000000002</v>
          </cell>
          <cell r="F546">
            <v>15.850258285714286</v>
          </cell>
        </row>
        <row r="547">
          <cell r="B547" t="str">
            <v>710-76</v>
          </cell>
          <cell r="C547" t="str">
            <v>Fourniture et pose de Té réduit 63/32/63</v>
          </cell>
          <cell r="D547" t="str">
            <v>U</v>
          </cell>
          <cell r="E547">
            <v>55475.904000000002</v>
          </cell>
          <cell r="F547">
            <v>15.850258285714286</v>
          </cell>
        </row>
        <row r="548">
          <cell r="B548" t="str">
            <v>710-77</v>
          </cell>
          <cell r="C548" t="str">
            <v>Fourniture et pose de Té réduit 63/25/63</v>
          </cell>
          <cell r="D548" t="str">
            <v>U</v>
          </cell>
          <cell r="E548">
            <v>55475.904000000002</v>
          </cell>
          <cell r="F548">
            <v>15.850258285714286</v>
          </cell>
        </row>
        <row r="549">
          <cell r="B549" t="str">
            <v>710-78</v>
          </cell>
          <cell r="C549" t="str">
            <v>Fourniture et pose de Té réduit 50/40/50</v>
          </cell>
          <cell r="D549" t="str">
            <v>U</v>
          </cell>
          <cell r="E549">
            <v>47094.96</v>
          </cell>
          <cell r="F549">
            <v>13.455702857142857</v>
          </cell>
        </row>
        <row r="550">
          <cell r="B550" t="str">
            <v>710-79</v>
          </cell>
          <cell r="C550" t="str">
            <v>Fourniture et pose de Té réduit 50/32/50</v>
          </cell>
          <cell r="D550" t="str">
            <v>U</v>
          </cell>
          <cell r="E550">
            <v>45796.08</v>
          </cell>
          <cell r="F550">
            <v>13.084594285714287</v>
          </cell>
        </row>
        <row r="551">
          <cell r="B551" t="str">
            <v>710-80</v>
          </cell>
          <cell r="C551" t="str">
            <v>Fourniture et pose de Té réduit 50/25/50</v>
          </cell>
          <cell r="D551" t="str">
            <v>U</v>
          </cell>
          <cell r="E551">
            <v>56100</v>
          </cell>
          <cell r="F551">
            <v>16.028571428571428</v>
          </cell>
        </row>
        <row r="552">
          <cell r="B552" t="str">
            <v>710-81</v>
          </cell>
          <cell r="C552" t="str">
            <v>Fourniture et pose de Té réduit 40/32/40</v>
          </cell>
          <cell r="D552" t="str">
            <v>U</v>
          </cell>
          <cell r="E552">
            <v>45287.615999999995</v>
          </cell>
          <cell r="F552">
            <v>12.939318857142856</v>
          </cell>
        </row>
        <row r="553">
          <cell r="B553" t="str">
            <v>710-82</v>
          </cell>
          <cell r="C553" t="str">
            <v>Fourniture et pose de Té réduit 40/25/40</v>
          </cell>
          <cell r="D553" t="str">
            <v>U</v>
          </cell>
          <cell r="E553">
            <v>39626.400000000001</v>
          </cell>
          <cell r="F553">
            <v>11.321828571428572</v>
          </cell>
        </row>
        <row r="554">
          <cell r="B554" t="str">
            <v>710-83</v>
          </cell>
          <cell r="C554" t="str">
            <v>Fourniture et pose de Té réduit 32/25/32</v>
          </cell>
          <cell r="D554" t="str">
            <v>U</v>
          </cell>
          <cell r="E554">
            <v>21605.232</v>
          </cell>
          <cell r="F554">
            <v>6.1729234285714289</v>
          </cell>
        </row>
        <row r="555">
          <cell r="B555" t="str">
            <v>710-84</v>
          </cell>
          <cell r="C555" t="str">
            <v>Fourniture et pose de Té réduit 25/20/25</v>
          </cell>
          <cell r="D555" t="str">
            <v>U</v>
          </cell>
          <cell r="E555">
            <v>16183.2</v>
          </cell>
          <cell r="F555">
            <v>4.6237714285714286</v>
          </cell>
        </row>
        <row r="556">
          <cell r="B556" t="str">
            <v>710-85</v>
          </cell>
          <cell r="C556" t="str">
            <v>Fourniture et pose de Tés à dérivation Filetée DN 75</v>
          </cell>
          <cell r="D556" t="str">
            <v>U</v>
          </cell>
          <cell r="E556">
            <v>46428.396959999998</v>
          </cell>
          <cell r="F556">
            <v>13.265256274285713</v>
          </cell>
        </row>
        <row r="557">
          <cell r="B557" t="str">
            <v>710-86</v>
          </cell>
          <cell r="C557" t="str">
            <v>Fourniture et pose de Tés à dérivation Filetée DN 63</v>
          </cell>
          <cell r="D557" t="str">
            <v>U</v>
          </cell>
          <cell r="E557">
            <v>31069.030079999997</v>
          </cell>
          <cell r="F557">
            <v>8.8768657371428557</v>
          </cell>
        </row>
        <row r="558">
          <cell r="B558" t="str">
            <v>710-87</v>
          </cell>
          <cell r="C558" t="str">
            <v>Fourniture et pose de Tés à dérivation Filetée DN 50</v>
          </cell>
          <cell r="D558" t="str">
            <v>U</v>
          </cell>
          <cell r="E558">
            <v>25678.250400000004</v>
          </cell>
          <cell r="F558">
            <v>7.3366429714285726</v>
          </cell>
        </row>
        <row r="559">
          <cell r="B559" t="str">
            <v>710-88</v>
          </cell>
          <cell r="C559" t="str">
            <v>Fourniture et pose de Tés à dérivation Filetée DN 40</v>
          </cell>
          <cell r="D559" t="str">
            <v>U</v>
          </cell>
          <cell r="E559">
            <v>14925.725760000001</v>
          </cell>
          <cell r="F559">
            <v>4.2644930742857143</v>
          </cell>
        </row>
        <row r="560">
          <cell r="B560" t="str">
            <v>710-89</v>
          </cell>
          <cell r="C560" t="str">
            <v>Fourniture et pose de Tés à dérivation Filetée DN 32</v>
          </cell>
          <cell r="D560" t="str">
            <v>U</v>
          </cell>
          <cell r="E560">
            <v>12148.070879999999</v>
          </cell>
          <cell r="F560">
            <v>3.4708773942857141</v>
          </cell>
        </row>
        <row r="561">
          <cell r="B561" t="str">
            <v>710-90</v>
          </cell>
          <cell r="C561" t="str">
            <v>Fourniture et pose de Tés à dérivation Filetée DN 25</v>
          </cell>
          <cell r="D561" t="str">
            <v>U</v>
          </cell>
          <cell r="E561">
            <v>9554.3025600000001</v>
          </cell>
          <cell r="F561">
            <v>2.7298007314285715</v>
          </cell>
        </row>
        <row r="562">
          <cell r="B562" t="str">
            <v>710-91</v>
          </cell>
          <cell r="C562" t="str">
            <v>Fourniture et pose de Tés à dérivation Taraudées DN75</v>
          </cell>
          <cell r="D562" t="str">
            <v>U</v>
          </cell>
          <cell r="E562">
            <v>99501.6</v>
          </cell>
          <cell r="F562">
            <v>28.429028571428574</v>
          </cell>
        </row>
        <row r="563">
          <cell r="B563" t="str">
            <v>710-92</v>
          </cell>
          <cell r="C563" t="str">
            <v>Fourniture et pose de Tés à dérivation Taraudées DN 63</v>
          </cell>
          <cell r="D563" t="str">
            <v>U</v>
          </cell>
          <cell r="E563">
            <v>52140</v>
          </cell>
          <cell r="F563">
            <v>14.897142857142857</v>
          </cell>
        </row>
        <row r="564">
          <cell r="B564" t="str">
            <v>710-93</v>
          </cell>
          <cell r="C564" t="str">
            <v>Fourniture et pose de Tés à dérivation Taraudées DN 50</v>
          </cell>
          <cell r="D564" t="str">
            <v>U</v>
          </cell>
          <cell r="E564">
            <v>33607.200000000004</v>
          </cell>
          <cell r="F564">
            <v>9.6020571428571433</v>
          </cell>
        </row>
        <row r="565">
          <cell r="B565" t="str">
            <v>710-94</v>
          </cell>
          <cell r="C565" t="str">
            <v>Fourniture et pose de Tés à dérivation Taraudées DN 40</v>
          </cell>
          <cell r="D565" t="str">
            <v>U</v>
          </cell>
          <cell r="E565">
            <v>28496.265600000002</v>
          </cell>
          <cell r="F565">
            <v>8.141790171428573</v>
          </cell>
        </row>
        <row r="566">
          <cell r="B566" t="str">
            <v>710-95</v>
          </cell>
          <cell r="C566" t="str">
            <v>Fourniture et pose de Tés à dérivation Taraudées DN 32</v>
          </cell>
          <cell r="D566" t="str">
            <v>U</v>
          </cell>
          <cell r="E566">
            <v>19192.8</v>
          </cell>
          <cell r="F566">
            <v>5.483657142857143</v>
          </cell>
        </row>
        <row r="567">
          <cell r="B567" t="str">
            <v>710-96</v>
          </cell>
          <cell r="C567" t="str">
            <v>Fourniture et pose de Tés à dérivation Taraudées DN 25</v>
          </cell>
          <cell r="D567" t="str">
            <v>U</v>
          </cell>
          <cell r="E567">
            <v>15074.400000000001</v>
          </cell>
          <cell r="F567">
            <v>4.3069714285714289</v>
          </cell>
        </row>
        <row r="568">
          <cell r="B568" t="str">
            <v>710-97</v>
          </cell>
          <cell r="C568" t="str">
            <v>Siphon de sol PVC D100</v>
          </cell>
          <cell r="D568" t="str">
            <v>U</v>
          </cell>
          <cell r="E568">
            <v>99100</v>
          </cell>
          <cell r="F568">
            <v>28.314285714285713</v>
          </cell>
        </row>
        <row r="569">
          <cell r="F569">
            <v>0</v>
          </cell>
        </row>
        <row r="570">
          <cell r="B570">
            <v>711</v>
          </cell>
          <cell r="C570" t="str">
            <v>FOURNITURE ET POSE ACCESSOIREs GALVA</v>
          </cell>
        </row>
        <row r="571">
          <cell r="B571" t="str">
            <v>711-01</v>
          </cell>
          <cell r="C571" t="str">
            <v>Fourniture et pose de coude 90° galvanisé 100/114</v>
          </cell>
          <cell r="D571" t="str">
            <v>U</v>
          </cell>
          <cell r="E571">
            <v>104042.40000000001</v>
          </cell>
          <cell r="F571">
            <v>29.726400000000002</v>
          </cell>
        </row>
        <row r="572">
          <cell r="B572" t="str">
            <v>711-02</v>
          </cell>
          <cell r="C572" t="str">
            <v>Fourniture et pose de coude 90° galvanisé 80/90</v>
          </cell>
          <cell r="D572" t="str">
            <v>U</v>
          </cell>
          <cell r="E572">
            <v>48602.400000000001</v>
          </cell>
          <cell r="F572">
            <v>13.8864</v>
          </cell>
        </row>
        <row r="573">
          <cell r="B573" t="str">
            <v>711-03</v>
          </cell>
          <cell r="C573" t="str">
            <v>Fourniture et pose de coude 90° galvanisé 66/76</v>
          </cell>
          <cell r="D573" t="str">
            <v>U</v>
          </cell>
          <cell r="E573">
            <v>26901.600000000002</v>
          </cell>
          <cell r="F573">
            <v>7.6861714285714289</v>
          </cell>
        </row>
        <row r="574">
          <cell r="B574" t="str">
            <v>711-04</v>
          </cell>
          <cell r="C574" t="str">
            <v>Fourniture et pose de coude 90° galvanisé 50/60</v>
          </cell>
          <cell r="D574" t="str">
            <v>U</v>
          </cell>
          <cell r="E574">
            <v>21357.600000000002</v>
          </cell>
          <cell r="F574">
            <v>6.1021714285714292</v>
          </cell>
        </row>
        <row r="575">
          <cell r="B575" t="str">
            <v>711-05</v>
          </cell>
          <cell r="C575" t="str">
            <v>Fourniture et pose de coude 90°galvanisé 40/49</v>
          </cell>
          <cell r="D575" t="str">
            <v>U</v>
          </cell>
          <cell r="E575">
            <v>13120.800000000001</v>
          </cell>
          <cell r="F575">
            <v>3.7488000000000001</v>
          </cell>
        </row>
        <row r="576">
          <cell r="B576" t="str">
            <v>711-06</v>
          </cell>
          <cell r="C576" t="str">
            <v>Fourniture et pose de coude 90° galvanisé 33/42</v>
          </cell>
          <cell r="D576" t="str">
            <v>U</v>
          </cell>
          <cell r="E576">
            <v>6626.4000000000005</v>
          </cell>
          <cell r="F576">
            <v>1.893257142857143</v>
          </cell>
        </row>
        <row r="577">
          <cell r="B577" t="str">
            <v>711-07</v>
          </cell>
          <cell r="C577" t="str">
            <v>Fourniture et pose de coude 90° galvanisé 26/33</v>
          </cell>
          <cell r="D577" t="str">
            <v>U</v>
          </cell>
          <cell r="E577">
            <v>5042.4000000000005</v>
          </cell>
          <cell r="F577">
            <v>1.4406857142857143</v>
          </cell>
        </row>
        <row r="578">
          <cell r="B578" t="str">
            <v>711-08</v>
          </cell>
          <cell r="C578" t="str">
            <v>Fourniture et pose de coude 90° galvanisé 20/27</v>
          </cell>
          <cell r="D578" t="str">
            <v>U</v>
          </cell>
          <cell r="E578">
            <v>3854.4</v>
          </cell>
          <cell r="F578">
            <v>1.1012571428571429</v>
          </cell>
        </row>
        <row r="579">
          <cell r="B579" t="str">
            <v>711-09</v>
          </cell>
          <cell r="C579" t="str">
            <v>Fourniture et pose de coude 90° galvanisé 15/21</v>
          </cell>
          <cell r="D579" t="str">
            <v>U</v>
          </cell>
          <cell r="E579">
            <v>3141.6000000000004</v>
          </cell>
          <cell r="F579">
            <v>0.89760000000000006</v>
          </cell>
        </row>
        <row r="580">
          <cell r="B580" t="str">
            <v>711-10</v>
          </cell>
          <cell r="C580" t="str">
            <v>Fourniture et pose de Tés égaux galvanisé 66/76</v>
          </cell>
          <cell r="D580" t="str">
            <v>U</v>
          </cell>
          <cell r="E580">
            <v>30703.200000000001</v>
          </cell>
          <cell r="F580">
            <v>8.7723428571428581</v>
          </cell>
        </row>
        <row r="581">
          <cell r="B581" t="str">
            <v>711-11</v>
          </cell>
          <cell r="C581" t="str">
            <v>Fourniture et pose de Tés égaux galvanisé 50/60</v>
          </cell>
          <cell r="D581" t="str">
            <v>U</v>
          </cell>
          <cell r="E581">
            <v>18506.400000000001</v>
          </cell>
          <cell r="F581">
            <v>5.2875428571428573</v>
          </cell>
        </row>
        <row r="582">
          <cell r="B582" t="str">
            <v>711-12</v>
          </cell>
          <cell r="C582" t="str">
            <v>Fourniture et pose de Tés égaux galvanisé 40/49</v>
          </cell>
          <cell r="D582" t="str">
            <v>U</v>
          </cell>
          <cell r="E582">
            <v>12170.400000000001</v>
          </cell>
          <cell r="F582">
            <v>3.4772571428571433</v>
          </cell>
        </row>
        <row r="583">
          <cell r="B583" t="str">
            <v>711-13</v>
          </cell>
          <cell r="C583" t="str">
            <v>Fourniture et pose de Tés égaux galvanisé 33/42</v>
          </cell>
          <cell r="D583" t="str">
            <v>U</v>
          </cell>
          <cell r="E583">
            <v>10111.200000000001</v>
          </cell>
          <cell r="F583">
            <v>2.8889142857142858</v>
          </cell>
        </row>
        <row r="584">
          <cell r="B584" t="str">
            <v>711-14</v>
          </cell>
          <cell r="C584" t="str">
            <v>Fourniture et pose de Tés égaux galvanisé 26/33</v>
          </cell>
          <cell r="D584" t="str">
            <v>U</v>
          </cell>
          <cell r="E584">
            <v>6230.4000000000005</v>
          </cell>
          <cell r="F584">
            <v>1.7801142857142858</v>
          </cell>
        </row>
        <row r="585">
          <cell r="B585" t="str">
            <v>711-15</v>
          </cell>
          <cell r="C585" t="str">
            <v>Fourniture et pose de Tés égaux galvanisé 20/27</v>
          </cell>
          <cell r="D585" t="str">
            <v>U</v>
          </cell>
          <cell r="E585">
            <v>3854.4</v>
          </cell>
          <cell r="F585">
            <v>1.1012571428571429</v>
          </cell>
        </row>
        <row r="586">
          <cell r="B586" t="str">
            <v>711-16</v>
          </cell>
          <cell r="C586" t="str">
            <v>Fourniture et pose de Tés égaux galvanisé 15/21</v>
          </cell>
          <cell r="D586" t="str">
            <v>U</v>
          </cell>
          <cell r="E586">
            <v>3141.6000000000004</v>
          </cell>
          <cell r="F586">
            <v>0.89760000000000006</v>
          </cell>
        </row>
        <row r="587">
          <cell r="B587" t="str">
            <v>711-17</v>
          </cell>
          <cell r="C587" t="str">
            <v xml:space="preserve">Fourniture et pose de Té réduit galvanisé 63/50/63 </v>
          </cell>
          <cell r="D587" t="str">
            <v>U</v>
          </cell>
          <cell r="E587">
            <v>12170.400000000001</v>
          </cell>
          <cell r="F587">
            <v>3.4772571428571433</v>
          </cell>
        </row>
        <row r="588">
          <cell r="B588" t="str">
            <v>711-18</v>
          </cell>
          <cell r="C588" t="str">
            <v xml:space="preserve">Fourniture et pose de Té réduit galvanisé 63/40/63 </v>
          </cell>
          <cell r="D588" t="str">
            <v>U</v>
          </cell>
          <cell r="E588">
            <v>9002.4</v>
          </cell>
          <cell r="F588">
            <v>2.5721142857142856</v>
          </cell>
        </row>
        <row r="589">
          <cell r="B589" t="str">
            <v>711-19</v>
          </cell>
          <cell r="C589" t="str">
            <v xml:space="preserve">Fourniture et pose de Té réduit galvanisé 50/32/50 </v>
          </cell>
          <cell r="D589" t="str">
            <v>U</v>
          </cell>
          <cell r="E589">
            <v>7418.4000000000005</v>
          </cell>
          <cell r="F589">
            <v>2.1195428571428572</v>
          </cell>
        </row>
        <row r="590">
          <cell r="B590" t="str">
            <v>711-20</v>
          </cell>
          <cell r="C590" t="str">
            <v xml:space="preserve">Fourniture et pose de Té réduit galvanisé 32/25/32 </v>
          </cell>
          <cell r="D590" t="str">
            <v>U</v>
          </cell>
          <cell r="E590">
            <v>5834.4000000000005</v>
          </cell>
          <cell r="F590">
            <v>1.6669714285714288</v>
          </cell>
        </row>
        <row r="591">
          <cell r="B591" t="str">
            <v>711-21</v>
          </cell>
          <cell r="C591" t="str">
            <v xml:space="preserve">Fourniture et pose de Té réduit galvanisé 25/20/25 </v>
          </cell>
          <cell r="D591" t="str">
            <v>U</v>
          </cell>
          <cell r="E591">
            <v>3616.8</v>
          </cell>
          <cell r="F591">
            <v>1.0333714285714286</v>
          </cell>
        </row>
        <row r="592">
          <cell r="B592" t="str">
            <v>711-22</v>
          </cell>
          <cell r="C592" t="str">
            <v>Fourniture et pose de manchon  galvanisé 110/140</v>
          </cell>
          <cell r="D592" t="str">
            <v>U</v>
          </cell>
          <cell r="E592">
            <v>50978.400000000001</v>
          </cell>
          <cell r="F592">
            <v>14.565257142857144</v>
          </cell>
        </row>
        <row r="593">
          <cell r="B593" t="str">
            <v>711-23</v>
          </cell>
          <cell r="C593" t="str">
            <v>Fourniture et pose de manchon  galvanisé 80/90</v>
          </cell>
          <cell r="D593" t="str">
            <v>U</v>
          </cell>
          <cell r="E593">
            <v>29436</v>
          </cell>
          <cell r="F593">
            <v>8.410285714285715</v>
          </cell>
        </row>
        <row r="594">
          <cell r="B594" t="str">
            <v>711-24</v>
          </cell>
          <cell r="C594" t="str">
            <v>Fourniture et pose de manchon  galvanisé 66/76</v>
          </cell>
          <cell r="D594" t="str">
            <v>U</v>
          </cell>
          <cell r="E594">
            <v>20882.400000000001</v>
          </cell>
          <cell r="F594">
            <v>5.9664000000000001</v>
          </cell>
        </row>
        <row r="595">
          <cell r="B595" t="str">
            <v>711-25</v>
          </cell>
          <cell r="C595" t="str">
            <v>Fourniture et pose de manchon galvanisé 50/60</v>
          </cell>
          <cell r="D595" t="str">
            <v>U</v>
          </cell>
          <cell r="E595">
            <v>9794.4</v>
          </cell>
          <cell r="F595">
            <v>2.7984</v>
          </cell>
        </row>
        <row r="596">
          <cell r="B596" t="str">
            <v>711-26</v>
          </cell>
          <cell r="C596" t="str">
            <v>Fourniture et pose de manchon galvanisé 40/49</v>
          </cell>
          <cell r="D596" t="str">
            <v>U</v>
          </cell>
          <cell r="E596">
            <v>7735.2000000000007</v>
          </cell>
          <cell r="F596">
            <v>2.2100571428571429</v>
          </cell>
        </row>
        <row r="597">
          <cell r="B597" t="str">
            <v>711-27</v>
          </cell>
          <cell r="C597" t="str">
            <v>Fourniture et pose de manchon  galvanisé 33/42</v>
          </cell>
          <cell r="D597" t="str">
            <v>U</v>
          </cell>
          <cell r="E597">
            <v>5834.4000000000005</v>
          </cell>
          <cell r="F597">
            <v>1.6669714285714288</v>
          </cell>
        </row>
        <row r="598">
          <cell r="B598" t="str">
            <v>711-28</v>
          </cell>
          <cell r="C598" t="str">
            <v>Fourniture et pose de manchon galvanisé 26/33</v>
          </cell>
          <cell r="D598" t="str">
            <v>U</v>
          </cell>
          <cell r="E598">
            <v>4884</v>
          </cell>
          <cell r="F598">
            <v>1.3954285714285715</v>
          </cell>
        </row>
        <row r="599">
          <cell r="B599" t="str">
            <v>711-29</v>
          </cell>
          <cell r="C599" t="str">
            <v>Fourniture et pose de manchon galvanisé 20/27</v>
          </cell>
          <cell r="D599" t="str">
            <v>U</v>
          </cell>
          <cell r="E599">
            <v>3616.8</v>
          </cell>
          <cell r="F599">
            <v>1.0333714285714286</v>
          </cell>
        </row>
        <row r="600">
          <cell r="B600" t="str">
            <v>711-30</v>
          </cell>
          <cell r="C600" t="str">
            <v>Fourniture et pose de manchon galvanisé 15/21</v>
          </cell>
          <cell r="D600" t="str">
            <v>U</v>
          </cell>
          <cell r="E600">
            <v>3141.6000000000004</v>
          </cell>
          <cell r="F600">
            <v>0.89760000000000006</v>
          </cell>
        </row>
        <row r="601">
          <cell r="B601" t="str">
            <v>711-31</v>
          </cell>
          <cell r="C601" t="str">
            <v>Fourniture et pose de mamelon   galvanisé 80/90</v>
          </cell>
          <cell r="D601" t="str">
            <v>U</v>
          </cell>
          <cell r="E601">
            <v>40682.400000000001</v>
          </cell>
          <cell r="H601" t="e">
            <v>#REF!</v>
          </cell>
          <cell r="I601" t="e">
            <v>#REF!</v>
          </cell>
        </row>
        <row r="602">
          <cell r="B602" t="str">
            <v>711-32</v>
          </cell>
          <cell r="C602" t="str">
            <v>Fourniture et pose de mamelon   galvanisé 66/76</v>
          </cell>
          <cell r="D602" t="str">
            <v>U</v>
          </cell>
          <cell r="E602">
            <v>26268</v>
          </cell>
          <cell r="F602">
            <v>7.5051428571428573</v>
          </cell>
        </row>
        <row r="603">
          <cell r="B603" t="str">
            <v>711-33</v>
          </cell>
          <cell r="C603" t="str">
            <v>Fourniture et pose de mamelon  galvanisé 50/60</v>
          </cell>
          <cell r="D603" t="str">
            <v>U</v>
          </cell>
          <cell r="E603">
            <v>19298.400000000001</v>
          </cell>
          <cell r="F603">
            <v>5.5138285714285722</v>
          </cell>
        </row>
        <row r="604">
          <cell r="B604" t="str">
            <v>711-34</v>
          </cell>
          <cell r="C604" t="str">
            <v>Fourniture et pose de mamelon galvanisé 40/49</v>
          </cell>
          <cell r="D604" t="str">
            <v>U</v>
          </cell>
          <cell r="E604">
            <v>12962.400000000001</v>
          </cell>
          <cell r="F604">
            <v>3.7035428571428577</v>
          </cell>
        </row>
        <row r="605">
          <cell r="B605" t="str">
            <v>711-35</v>
          </cell>
          <cell r="C605" t="str">
            <v>Fourniture et pose de mamelon  galvanisé 33/42</v>
          </cell>
          <cell r="D605" t="str">
            <v>U</v>
          </cell>
          <cell r="E605">
            <v>6943.2000000000007</v>
          </cell>
          <cell r="F605">
            <v>1.9837714285714287</v>
          </cell>
        </row>
        <row r="606">
          <cell r="B606" t="str">
            <v>711-36</v>
          </cell>
          <cell r="C606" t="str">
            <v>Fourniture et pose de mamelon galvanisé 26/33</v>
          </cell>
          <cell r="D606" t="str">
            <v>U</v>
          </cell>
          <cell r="E606">
            <v>4884</v>
          </cell>
          <cell r="F606">
            <v>1.3954285714285715</v>
          </cell>
        </row>
        <row r="607">
          <cell r="B607" t="str">
            <v>711-37</v>
          </cell>
          <cell r="C607" t="str">
            <v>Fourniture et pose de mamelon galvanisé 20/27</v>
          </cell>
          <cell r="D607" t="str">
            <v>U</v>
          </cell>
          <cell r="E607">
            <v>3775.2000000000003</v>
          </cell>
          <cell r="F607">
            <v>1.0786285714285715</v>
          </cell>
        </row>
        <row r="608">
          <cell r="B608" t="str">
            <v>711-38</v>
          </cell>
          <cell r="C608" t="str">
            <v>Fourniture et pose de mamelon galvanisé 15/21</v>
          </cell>
          <cell r="D608" t="str">
            <v>U</v>
          </cell>
          <cell r="E608">
            <v>3141.6000000000004</v>
          </cell>
          <cell r="F608">
            <v>0.89760000000000006</v>
          </cell>
        </row>
        <row r="609">
          <cell r="B609" t="str">
            <v>711-39</v>
          </cell>
          <cell r="C609" t="str">
            <v>Fourniture et pose de raccord union  galvanisé 80/90</v>
          </cell>
          <cell r="D609" t="str">
            <v>U</v>
          </cell>
          <cell r="E609">
            <v>63552.192000000003</v>
          </cell>
          <cell r="F609">
            <v>18.157769142857145</v>
          </cell>
        </row>
        <row r="610">
          <cell r="B610" t="str">
            <v>711-40</v>
          </cell>
          <cell r="C610" t="str">
            <v>Fourniture et pose de raccord union  galvanisé 66/76</v>
          </cell>
          <cell r="D610" t="str">
            <v>U</v>
          </cell>
          <cell r="E610">
            <v>50626.752</v>
          </cell>
          <cell r="F610">
            <v>14.464786285714286</v>
          </cell>
        </row>
        <row r="611">
          <cell r="B611" t="str">
            <v>711-41</v>
          </cell>
          <cell r="C611" t="str">
            <v>Fourniture et pose de raccord union  galvanisé 50/60</v>
          </cell>
          <cell r="D611" t="str">
            <v>U</v>
          </cell>
          <cell r="E611">
            <v>27365.712</v>
          </cell>
          <cell r="F611">
            <v>7.8187748571428566</v>
          </cell>
        </row>
        <row r="612">
          <cell r="B612" t="str">
            <v>711-42</v>
          </cell>
          <cell r="C612" t="str">
            <v>Fourniture et pose de raccord union  galvanisé 40/49</v>
          </cell>
          <cell r="D612" t="str">
            <v>U</v>
          </cell>
          <cell r="E612">
            <v>22308</v>
          </cell>
          <cell r="F612">
            <v>6.3737142857142857</v>
          </cell>
        </row>
        <row r="613">
          <cell r="B613" t="str">
            <v>711-43</v>
          </cell>
          <cell r="C613" t="str">
            <v>Fourniture et pose de raccord union  galvanisé 33/42</v>
          </cell>
          <cell r="D613" t="str">
            <v>U</v>
          </cell>
          <cell r="E613">
            <v>16447.2</v>
          </cell>
          <cell r="F613">
            <v>4.6992000000000003</v>
          </cell>
        </row>
        <row r="614">
          <cell r="B614" t="str">
            <v>711-44</v>
          </cell>
          <cell r="C614" t="str">
            <v>Fourniture et pose de raccord union  galvanisé 26/33</v>
          </cell>
          <cell r="D614" t="str">
            <v>U</v>
          </cell>
          <cell r="E614">
            <v>10111.200000000001</v>
          </cell>
          <cell r="F614">
            <v>2.8889142857142858</v>
          </cell>
        </row>
        <row r="615">
          <cell r="B615" t="str">
            <v>711-45</v>
          </cell>
          <cell r="C615" t="str">
            <v>Fourniture et pose de raccord union  galvanisé 20/27</v>
          </cell>
          <cell r="D615" t="str">
            <v>U</v>
          </cell>
          <cell r="E615">
            <v>7101.6</v>
          </cell>
          <cell r="F615">
            <v>2.0290285714285714</v>
          </cell>
        </row>
        <row r="616">
          <cell r="B616" t="str">
            <v>711-46</v>
          </cell>
          <cell r="C616" t="str">
            <v>Fourniture et pose de raccord union  galvanisé 15/21</v>
          </cell>
          <cell r="D616" t="str">
            <v>U</v>
          </cell>
          <cell r="E616">
            <v>6626.4000000000005</v>
          </cell>
          <cell r="F616">
            <v>1.893257142857143</v>
          </cell>
        </row>
        <row r="617">
          <cell r="B617" t="str">
            <v>711-47</v>
          </cell>
          <cell r="C617" t="str">
            <v>Fourniture et pose de réduction galvanisé  FF 63*50</v>
          </cell>
          <cell r="D617" t="str">
            <v>U</v>
          </cell>
          <cell r="E617">
            <v>15892.800000000001</v>
          </cell>
          <cell r="F617">
            <v>4.5407999999999999</v>
          </cell>
        </row>
        <row r="618">
          <cell r="B618" t="str">
            <v>711-48</v>
          </cell>
          <cell r="C618" t="str">
            <v>Fourniture et pose de réduction galvanisé  FF 63*40</v>
          </cell>
          <cell r="D618" t="str">
            <v>U</v>
          </cell>
          <cell r="E618">
            <v>15892.800000000001</v>
          </cell>
          <cell r="F618">
            <v>4.5407999999999999</v>
          </cell>
        </row>
        <row r="619">
          <cell r="B619" t="str">
            <v>711-49</v>
          </cell>
          <cell r="C619" t="str">
            <v>Fourniture et pose de réduction galvanisé  FF 63*32</v>
          </cell>
          <cell r="D619" t="str">
            <v>U</v>
          </cell>
          <cell r="E619">
            <v>15892.800000000001</v>
          </cell>
          <cell r="F619">
            <v>4.5407999999999999</v>
          </cell>
        </row>
        <row r="620">
          <cell r="B620" t="str">
            <v>711-50</v>
          </cell>
          <cell r="C620" t="str">
            <v>Fourniture et pose de réduction galvanisé  FF 63*25</v>
          </cell>
          <cell r="D620" t="str">
            <v>U</v>
          </cell>
          <cell r="E620">
            <v>14071.2</v>
          </cell>
          <cell r="F620">
            <v>4.0203428571428574</v>
          </cell>
        </row>
        <row r="621">
          <cell r="B621" t="str">
            <v>711-51</v>
          </cell>
          <cell r="C621" t="str">
            <v>Fourniture et pose de réduction galvanisé  FF 63*20</v>
          </cell>
          <cell r="D621" t="str">
            <v>U</v>
          </cell>
          <cell r="E621">
            <v>13120.800000000001</v>
          </cell>
          <cell r="F621">
            <v>3.7488000000000001</v>
          </cell>
        </row>
        <row r="622">
          <cell r="B622" t="str">
            <v>711-52</v>
          </cell>
          <cell r="C622" t="str">
            <v>Fourniture et pose de réduction galvanisé  FF 50*40</v>
          </cell>
          <cell r="D622" t="str">
            <v>U</v>
          </cell>
          <cell r="E622">
            <v>12962.400000000001</v>
          </cell>
          <cell r="F622">
            <v>3.7035428571428577</v>
          </cell>
        </row>
        <row r="623">
          <cell r="B623" t="str">
            <v>711-53</v>
          </cell>
          <cell r="C623" t="str">
            <v>Fourniture et pose de réduction galvanisé  FF 50*32</v>
          </cell>
          <cell r="D623" t="str">
            <v>U</v>
          </cell>
          <cell r="E623">
            <v>12012</v>
          </cell>
          <cell r="F623">
            <v>3.4319999999999999</v>
          </cell>
        </row>
        <row r="624">
          <cell r="B624" t="str">
            <v>711-54</v>
          </cell>
          <cell r="C624" t="str">
            <v>Fourniture et pose de réduction galvanisé  FF 40*32</v>
          </cell>
          <cell r="D624" t="str">
            <v>U</v>
          </cell>
          <cell r="E624">
            <v>5834.4000000000005</v>
          </cell>
          <cell r="F624">
            <v>1.6669714285714288</v>
          </cell>
        </row>
        <row r="625">
          <cell r="B625" t="str">
            <v>711-55</v>
          </cell>
          <cell r="C625" t="str">
            <v>Fourniture et pose de réduction galvanisé  FF 40*25</v>
          </cell>
          <cell r="D625" t="str">
            <v>U</v>
          </cell>
          <cell r="E625">
            <v>5834.4000000000005</v>
          </cell>
          <cell r="F625">
            <v>1.6669714285714288</v>
          </cell>
        </row>
        <row r="626">
          <cell r="B626" t="str">
            <v>711-56</v>
          </cell>
          <cell r="C626" t="str">
            <v>Fourniture et pose de réduction galvanisé  FF 40*20</v>
          </cell>
          <cell r="D626" t="str">
            <v>U</v>
          </cell>
          <cell r="E626">
            <v>5834.4000000000005</v>
          </cell>
          <cell r="F626">
            <v>1.6669714285714288</v>
          </cell>
        </row>
        <row r="627">
          <cell r="B627" t="str">
            <v>711-57</v>
          </cell>
          <cell r="C627" t="str">
            <v>Fourniture et pose de réduction galvanisé  FF 32*25</v>
          </cell>
          <cell r="D627" t="str">
            <v>U</v>
          </cell>
          <cell r="E627">
            <v>3458.4</v>
          </cell>
          <cell r="F627">
            <v>0.98811428571428572</v>
          </cell>
        </row>
        <row r="628">
          <cell r="B628" t="str">
            <v>711-58</v>
          </cell>
          <cell r="C628" t="str">
            <v>Fourniture et pose de réduction galvanisé  FF 32*20</v>
          </cell>
          <cell r="D628" t="str">
            <v>U</v>
          </cell>
          <cell r="E628">
            <v>3775.2000000000003</v>
          </cell>
          <cell r="F628">
            <v>1.0786285714285715</v>
          </cell>
        </row>
        <row r="629">
          <cell r="B629" t="str">
            <v>711-59</v>
          </cell>
          <cell r="C629" t="str">
            <v>Fourniture et pose de réduction galvanisé  FF 25*20</v>
          </cell>
          <cell r="D629" t="str">
            <v>U</v>
          </cell>
          <cell r="E629">
            <v>3458.4</v>
          </cell>
          <cell r="F629">
            <v>0.98811428571428572</v>
          </cell>
        </row>
        <row r="630">
          <cell r="B630" t="str">
            <v>711-60</v>
          </cell>
          <cell r="C630" t="str">
            <v>Fourniture et pose de réduction galvanisé  MF 90*75</v>
          </cell>
          <cell r="D630" t="str">
            <v>U</v>
          </cell>
          <cell r="E630">
            <v>40682.400000000001</v>
          </cell>
          <cell r="F630">
            <v>11.623542857142857</v>
          </cell>
        </row>
        <row r="631">
          <cell r="B631" t="str">
            <v>711-61</v>
          </cell>
          <cell r="C631" t="str">
            <v>Fourniture et pose de réductions galvanisé  MF 75*63</v>
          </cell>
          <cell r="D631" t="str">
            <v>U</v>
          </cell>
          <cell r="E631">
            <v>35930.400000000001</v>
          </cell>
          <cell r="F631">
            <v>10.265828571428571</v>
          </cell>
        </row>
        <row r="632">
          <cell r="B632" t="str">
            <v>711-62</v>
          </cell>
          <cell r="C632" t="str">
            <v>Fourniture et pose de réduction galvanisé  MF 63*50</v>
          </cell>
          <cell r="D632" t="str">
            <v>U</v>
          </cell>
          <cell r="E632">
            <v>19140</v>
          </cell>
          <cell r="F632">
            <v>5.4685714285714289</v>
          </cell>
        </row>
        <row r="633">
          <cell r="B633" t="str">
            <v>711-63</v>
          </cell>
          <cell r="C633" t="str">
            <v>Fourniture et pose de réduction galvanisé  MF 63*40</v>
          </cell>
          <cell r="D633" t="str">
            <v>U</v>
          </cell>
          <cell r="E633">
            <v>19140</v>
          </cell>
          <cell r="F633">
            <v>5.4685714285714289</v>
          </cell>
        </row>
        <row r="634">
          <cell r="B634" t="str">
            <v>711-64</v>
          </cell>
          <cell r="C634" t="str">
            <v>Fourniture et pose de réduction galvanisé  MF 63*32</v>
          </cell>
          <cell r="D634" t="str">
            <v>U</v>
          </cell>
          <cell r="E634">
            <v>19140</v>
          </cell>
          <cell r="F634">
            <v>5.4685714285714289</v>
          </cell>
        </row>
        <row r="635">
          <cell r="B635" t="str">
            <v>711-65</v>
          </cell>
          <cell r="C635" t="str">
            <v>Fourniture et pose de réduction galvanisé  MF 63*25</v>
          </cell>
          <cell r="D635" t="str">
            <v>U</v>
          </cell>
          <cell r="E635">
            <v>19932</v>
          </cell>
          <cell r="F635">
            <v>5.6948571428571428</v>
          </cell>
        </row>
        <row r="636">
          <cell r="B636" t="str">
            <v>711-66</v>
          </cell>
          <cell r="C636" t="str">
            <v>Fourniture et pose de réduction galvanisé  MF 63*20</v>
          </cell>
          <cell r="D636" t="str">
            <v>U</v>
          </cell>
          <cell r="E636">
            <v>19932</v>
          </cell>
          <cell r="F636">
            <v>5.6948571428571428</v>
          </cell>
        </row>
        <row r="637">
          <cell r="B637" t="str">
            <v>711-67</v>
          </cell>
          <cell r="C637" t="str">
            <v>Fourniture et pose de réduction galvanisé  MF 50*40</v>
          </cell>
          <cell r="D637" t="str">
            <v>U</v>
          </cell>
          <cell r="E637">
            <v>9794.4</v>
          </cell>
          <cell r="F637">
            <v>2.7984</v>
          </cell>
        </row>
        <row r="638">
          <cell r="B638" t="str">
            <v>711-68</v>
          </cell>
          <cell r="C638" t="str">
            <v>Fourniture et pose de réduction galvanisé  MF 50*32</v>
          </cell>
          <cell r="D638" t="str">
            <v>U</v>
          </cell>
          <cell r="E638">
            <v>9794.4</v>
          </cell>
          <cell r="F638">
            <v>2.7984</v>
          </cell>
        </row>
        <row r="639">
          <cell r="B639" t="str">
            <v>711-69</v>
          </cell>
          <cell r="C639" t="str">
            <v>Fourniture et pose de réduction galvanisé  MF 40*32</v>
          </cell>
          <cell r="D639" t="str">
            <v>U</v>
          </cell>
          <cell r="E639">
            <v>7101.6</v>
          </cell>
          <cell r="F639">
            <v>2.0290285714285714</v>
          </cell>
        </row>
        <row r="640">
          <cell r="B640" t="str">
            <v>711-70</v>
          </cell>
          <cell r="C640" t="str">
            <v>Fourniture et pose de réduction galvanisé  MF 40*25</v>
          </cell>
          <cell r="D640" t="str">
            <v>U</v>
          </cell>
          <cell r="E640">
            <v>6230.4000000000005</v>
          </cell>
          <cell r="F640">
            <v>1.7801142857142858</v>
          </cell>
        </row>
        <row r="641">
          <cell r="B641" t="str">
            <v>711-71</v>
          </cell>
          <cell r="C641" t="str">
            <v>Fourniture et pose de réduction galvanisé  MF 40*20</v>
          </cell>
          <cell r="D641" t="str">
            <v>U</v>
          </cell>
          <cell r="E641">
            <v>5517.6</v>
          </cell>
          <cell r="F641">
            <v>1.576457142857143</v>
          </cell>
        </row>
        <row r="642">
          <cell r="B642" t="str">
            <v>711-72</v>
          </cell>
          <cell r="C642" t="str">
            <v>Fourniture et pose de réduction galvanisé  MF 32*25</v>
          </cell>
          <cell r="D642" t="str">
            <v>U</v>
          </cell>
          <cell r="E642">
            <v>4250.4000000000005</v>
          </cell>
          <cell r="F642">
            <v>1.2144000000000001</v>
          </cell>
        </row>
        <row r="643">
          <cell r="B643" t="str">
            <v>711-73</v>
          </cell>
          <cell r="C643" t="str">
            <v>Fourniture et pose de réduction galvanisé  MF 32*20</v>
          </cell>
          <cell r="D643" t="str">
            <v>U</v>
          </cell>
          <cell r="E643">
            <v>3775.2000000000003</v>
          </cell>
          <cell r="F643">
            <v>1.0786285714285715</v>
          </cell>
        </row>
        <row r="644">
          <cell r="B644" t="str">
            <v>711-74</v>
          </cell>
          <cell r="C644" t="str">
            <v>Fourniture et pose de réduction galvanisé  MF 25*20</v>
          </cell>
          <cell r="D644" t="str">
            <v>U</v>
          </cell>
          <cell r="E644">
            <v>3458.4</v>
          </cell>
          <cell r="F644">
            <v>0.98811428571428572</v>
          </cell>
        </row>
        <row r="645">
          <cell r="B645" t="str">
            <v>711-75</v>
          </cell>
          <cell r="C645" t="str">
            <v>Fourniture et pose de bouchon mâle  galvanisé 50/60</v>
          </cell>
          <cell r="D645" t="str">
            <v>U</v>
          </cell>
          <cell r="E645">
            <v>7418.4000000000005</v>
          </cell>
          <cell r="F645">
            <v>2.1195428571428572</v>
          </cell>
        </row>
        <row r="646">
          <cell r="B646" t="str">
            <v>711-76</v>
          </cell>
          <cell r="C646" t="str">
            <v>Fourniture et pose de bouchon mâle  galvanisé 40/49</v>
          </cell>
          <cell r="D646" t="str">
            <v>U</v>
          </cell>
          <cell r="E646">
            <v>7101.6</v>
          </cell>
          <cell r="F646">
            <v>2.0290285714285714</v>
          </cell>
        </row>
        <row r="647">
          <cell r="B647" t="str">
            <v>711-77</v>
          </cell>
          <cell r="C647" t="str">
            <v>Fourniture et pose de bouchon mâle  galvanisé 33/42</v>
          </cell>
          <cell r="D647" t="str">
            <v>U</v>
          </cell>
          <cell r="E647">
            <v>5042.4000000000005</v>
          </cell>
          <cell r="F647">
            <v>1.4406857142857143</v>
          </cell>
        </row>
        <row r="648">
          <cell r="B648" t="str">
            <v>711-78</v>
          </cell>
          <cell r="C648" t="str">
            <v>Fourniture et pose de bouchon mâle  galvanisé 26/33</v>
          </cell>
          <cell r="D648" t="str">
            <v>U</v>
          </cell>
          <cell r="E648">
            <v>4092</v>
          </cell>
          <cell r="F648">
            <v>1.169142857142857</v>
          </cell>
        </row>
        <row r="649">
          <cell r="B649" t="str">
            <v>711-79</v>
          </cell>
          <cell r="C649" t="str">
            <v>Fourniture et pose de bouchon mâle  galvanisé 20/27</v>
          </cell>
          <cell r="D649" t="str">
            <v>U</v>
          </cell>
          <cell r="E649">
            <v>3141.6000000000004</v>
          </cell>
          <cell r="F649">
            <v>0.89760000000000006</v>
          </cell>
        </row>
        <row r="650">
          <cell r="B650" t="str">
            <v>711-80</v>
          </cell>
          <cell r="C650" t="str">
            <v>Fourniture et pose de bouchon mâle  galvanisé 15/21</v>
          </cell>
          <cell r="D650" t="str">
            <v>U</v>
          </cell>
          <cell r="E650">
            <v>2983.2000000000003</v>
          </cell>
          <cell r="F650">
            <v>0.85234285714285718</v>
          </cell>
        </row>
        <row r="651">
          <cell r="B651" t="str">
            <v>711-81</v>
          </cell>
          <cell r="C651" t="str">
            <v>Fourniture et pose de bouchon femelle  galvanisé 33/42</v>
          </cell>
          <cell r="D651" t="str">
            <v>U</v>
          </cell>
          <cell r="E651">
            <v>5200.8</v>
          </cell>
          <cell r="F651">
            <v>1.4859428571428572</v>
          </cell>
        </row>
        <row r="652">
          <cell r="B652" t="str">
            <v>711-82</v>
          </cell>
          <cell r="C652" t="str">
            <v>Fourniture et pose de bouchon femelle  galvanisé 26/33</v>
          </cell>
          <cell r="D652" t="str">
            <v>U</v>
          </cell>
          <cell r="E652">
            <v>4250.4000000000005</v>
          </cell>
          <cell r="F652">
            <v>1.2144000000000001</v>
          </cell>
        </row>
        <row r="653">
          <cell r="B653" t="str">
            <v>711-83</v>
          </cell>
          <cell r="C653" t="str">
            <v>Fourniture et pose de bouchon femelle  galvanisé 20/27</v>
          </cell>
          <cell r="D653" t="str">
            <v>U</v>
          </cell>
          <cell r="E653">
            <v>3141.6000000000004</v>
          </cell>
          <cell r="F653">
            <v>0.89760000000000006</v>
          </cell>
        </row>
        <row r="654">
          <cell r="B654" t="str">
            <v>711-84</v>
          </cell>
          <cell r="C654" t="str">
            <v>Fourniture et pose de bouchon femelle  galvanisé 15/21</v>
          </cell>
          <cell r="D654" t="str">
            <v>U</v>
          </cell>
          <cell r="E654">
            <v>2983.2000000000003</v>
          </cell>
          <cell r="F654">
            <v>0.85234285714285718</v>
          </cell>
        </row>
        <row r="656">
          <cell r="B656">
            <v>707</v>
          </cell>
          <cell r="C656" t="str">
            <v>Robinet de puisage en laiton</v>
          </cell>
        </row>
        <row r="657">
          <cell r="B657" t="str">
            <v>707-01</v>
          </cell>
          <cell r="C657" t="str">
            <v>Fourniture de vanne en laiton 50/60</v>
          </cell>
          <cell r="D657" t="str">
            <v>U</v>
          </cell>
          <cell r="E657">
            <v>102458.40000000001</v>
          </cell>
          <cell r="F657">
            <v>29.273828571428574</v>
          </cell>
        </row>
        <row r="658">
          <cell r="B658" t="str">
            <v>707-02</v>
          </cell>
          <cell r="C658" t="str">
            <v>Fourniture de vanne en laiton 40/49</v>
          </cell>
          <cell r="D658" t="str">
            <v>U</v>
          </cell>
          <cell r="E658">
            <v>49394.400000000001</v>
          </cell>
          <cell r="F658">
            <v>14.112685714285714</v>
          </cell>
        </row>
        <row r="659">
          <cell r="B659" t="str">
            <v>707-03</v>
          </cell>
          <cell r="C659" t="str">
            <v>Fourniture de vanne en laiton 33/42</v>
          </cell>
          <cell r="D659" t="str">
            <v>U</v>
          </cell>
          <cell r="E659">
            <v>38306.400000000001</v>
          </cell>
          <cell r="F659">
            <v>10.944685714285715</v>
          </cell>
        </row>
        <row r="660">
          <cell r="B660" t="str">
            <v>707-04</v>
          </cell>
          <cell r="C660" t="str">
            <v>Fourniture de vanne en laiton 26/33</v>
          </cell>
          <cell r="D660" t="str">
            <v>U</v>
          </cell>
          <cell r="E660">
            <v>27060</v>
          </cell>
          <cell r="F660">
            <v>7.7314285714285713</v>
          </cell>
        </row>
        <row r="661">
          <cell r="B661" t="str">
            <v>707-05</v>
          </cell>
          <cell r="C661" t="str">
            <v>Fourniture de vanne en laiton 20/27</v>
          </cell>
          <cell r="D661" t="str">
            <v>U</v>
          </cell>
          <cell r="E661">
            <v>21278.400000000001</v>
          </cell>
          <cell r="F661">
            <v>6.0795428571428571</v>
          </cell>
        </row>
        <row r="662">
          <cell r="B662" t="str">
            <v>707-06</v>
          </cell>
          <cell r="C662" t="str">
            <v>Fourniture de vanne en laiton 15/21</v>
          </cell>
          <cell r="D662" t="str">
            <v>U</v>
          </cell>
          <cell r="E662">
            <v>19615.2</v>
          </cell>
          <cell r="F662">
            <v>5.6043428571428571</v>
          </cell>
        </row>
        <row r="664">
          <cell r="B664">
            <v>704</v>
          </cell>
          <cell r="C664" t="str">
            <v>Vanne ¼ de tour galvanisé</v>
          </cell>
        </row>
        <row r="665">
          <cell r="B665" t="str">
            <v>704-01</v>
          </cell>
          <cell r="C665" t="str">
            <v>Fourniture de vanne ¼ de tour galvanisé 100/114</v>
          </cell>
          <cell r="D665" t="str">
            <v>U</v>
          </cell>
          <cell r="E665">
            <v>954441.31200000003</v>
          </cell>
          <cell r="F665">
            <v>272.69751771428571</v>
          </cell>
        </row>
        <row r="666">
          <cell r="B666" t="str">
            <v>704-02</v>
          </cell>
          <cell r="C666" t="str">
            <v>Fourniture de vanne ¼ de tour galvanisé 80/90</v>
          </cell>
          <cell r="D666" t="str">
            <v>U</v>
          </cell>
          <cell r="E666">
            <v>651566.25600000005</v>
          </cell>
          <cell r="F666">
            <v>186.16178742857144</v>
          </cell>
        </row>
        <row r="667">
          <cell r="B667" t="str">
            <v>704-03</v>
          </cell>
          <cell r="C667" t="str">
            <v>Fourniture de vanne ¼ de tour galvanisé. 66/76</v>
          </cell>
          <cell r="D667" t="str">
            <v>U</v>
          </cell>
          <cell r="E667">
            <v>434157.50400000002</v>
          </cell>
          <cell r="F667">
            <v>124.04500114285715</v>
          </cell>
        </row>
        <row r="668">
          <cell r="B668" t="str">
            <v>704-04</v>
          </cell>
          <cell r="C668" t="str">
            <v>Fourniture de vanne ¼ de tour galvanisé 50/60</v>
          </cell>
          <cell r="D668" t="str">
            <v>U</v>
          </cell>
          <cell r="E668">
            <v>204043.48800000001</v>
          </cell>
          <cell r="F668">
            <v>58.298139428571432</v>
          </cell>
        </row>
        <row r="669">
          <cell r="B669" t="str">
            <v>704-05</v>
          </cell>
          <cell r="C669" t="str">
            <v>Fourniture de vanne ¼ de tour galvanisé 40/49</v>
          </cell>
          <cell r="D669" t="str">
            <v>U</v>
          </cell>
          <cell r="E669">
            <v>134068.704</v>
          </cell>
          <cell r="F669">
            <v>38.305343999999998</v>
          </cell>
        </row>
        <row r="670">
          <cell r="B670" t="str">
            <v>704-06</v>
          </cell>
          <cell r="C670" t="str">
            <v>Fourniture de vanne ¼ de tour galvanisé 33/42</v>
          </cell>
          <cell r="D670" t="str">
            <v>U</v>
          </cell>
          <cell r="E670">
            <v>92815.008000000002</v>
          </cell>
          <cell r="F670">
            <v>26.518573714285715</v>
          </cell>
        </row>
        <row r="671">
          <cell r="B671" t="str">
            <v>704-07</v>
          </cell>
          <cell r="C671" t="str">
            <v>Fourniture de vanne ¼ de tour galvanisé 26/33</v>
          </cell>
          <cell r="D671" t="str">
            <v>U</v>
          </cell>
          <cell r="E671">
            <v>64268.160000000003</v>
          </cell>
          <cell r="F671">
            <v>18.36233142857143</v>
          </cell>
        </row>
        <row r="672">
          <cell r="B672" t="str">
            <v>704-08</v>
          </cell>
          <cell r="C672" t="str">
            <v>Fourniture de vanne ¼ de tour galvanisé 20/27</v>
          </cell>
          <cell r="D672" t="str">
            <v>U</v>
          </cell>
          <cell r="E672">
            <v>41500</v>
          </cell>
          <cell r="F672">
            <v>11.857142857142858</v>
          </cell>
        </row>
        <row r="673">
          <cell r="B673" t="str">
            <v>704-09</v>
          </cell>
          <cell r="C673" t="str">
            <v>Fourniture de vanne ¼ de tour galvanisé 15/21</v>
          </cell>
          <cell r="D673" t="str">
            <v>U</v>
          </cell>
          <cell r="E673">
            <v>28932.287999999997</v>
          </cell>
          <cell r="F673">
            <v>8.2663679999999999</v>
          </cell>
        </row>
        <row r="675">
          <cell r="B675">
            <v>705</v>
          </cell>
          <cell r="C675" t="str">
            <v>Vanne guillotine</v>
          </cell>
        </row>
        <row r="676">
          <cell r="B676" t="str">
            <v>705-01</v>
          </cell>
          <cell r="C676" t="str">
            <v>Fourniture de vanne guillotine 100/114</v>
          </cell>
          <cell r="D676" t="str">
            <v>U</v>
          </cell>
          <cell r="E676">
            <v>954441.31200000003</v>
          </cell>
          <cell r="F676">
            <v>272.69751771428571</v>
          </cell>
        </row>
        <row r="677">
          <cell r="B677" t="str">
            <v>705-02</v>
          </cell>
          <cell r="C677" t="str">
            <v>Fourniture de vanne guillotine 80/90</v>
          </cell>
          <cell r="D677" t="str">
            <v>U</v>
          </cell>
          <cell r="E677">
            <v>651566.25600000005</v>
          </cell>
          <cell r="F677">
            <v>186.16178742857144</v>
          </cell>
        </row>
        <row r="678">
          <cell r="B678" t="str">
            <v>705-03</v>
          </cell>
          <cell r="C678" t="str">
            <v>Fourniture de vanne guillotine. 66/76</v>
          </cell>
          <cell r="D678" t="str">
            <v>U</v>
          </cell>
          <cell r="E678">
            <v>434157.50400000002</v>
          </cell>
          <cell r="F678">
            <v>124.04500114285715</v>
          </cell>
        </row>
        <row r="679">
          <cell r="B679" t="str">
            <v>705-04</v>
          </cell>
          <cell r="C679" t="str">
            <v>Fourniture de vanne guillotine 50/60</v>
          </cell>
          <cell r="D679" t="str">
            <v>U</v>
          </cell>
          <cell r="E679">
            <v>204043.48800000001</v>
          </cell>
          <cell r="F679">
            <v>58.298139428571432</v>
          </cell>
        </row>
        <row r="680">
          <cell r="B680" t="str">
            <v>705-05</v>
          </cell>
          <cell r="C680" t="str">
            <v>Fourniture de vanne guillotine 40/49</v>
          </cell>
          <cell r="D680" t="str">
            <v>U</v>
          </cell>
          <cell r="E680">
            <v>134068.704</v>
          </cell>
          <cell r="F680">
            <v>38.305343999999998</v>
          </cell>
        </row>
        <row r="681">
          <cell r="B681" t="str">
            <v>705-06</v>
          </cell>
          <cell r="C681" t="str">
            <v>Fourniture de vanne guillotine 33/42</v>
          </cell>
          <cell r="D681" t="str">
            <v>U</v>
          </cell>
          <cell r="E681">
            <v>92815.008000000002</v>
          </cell>
          <cell r="F681">
            <v>26.518573714285715</v>
          </cell>
        </row>
        <row r="682">
          <cell r="B682" t="str">
            <v>705-07</v>
          </cell>
          <cell r="C682" t="str">
            <v>Fourniture de vanne guillotine 26/33</v>
          </cell>
          <cell r="D682" t="str">
            <v>U</v>
          </cell>
          <cell r="E682">
            <v>64268.160000000003</v>
          </cell>
          <cell r="F682">
            <v>18.36233142857143</v>
          </cell>
        </row>
        <row r="683">
          <cell r="B683" t="str">
            <v>705-08</v>
          </cell>
          <cell r="C683" t="str">
            <v>Fourniture de vanne guillotine 20/27</v>
          </cell>
          <cell r="D683" t="str">
            <v>U</v>
          </cell>
          <cell r="E683">
            <v>41464.896000000001</v>
          </cell>
          <cell r="F683">
            <v>11.847113142857143</v>
          </cell>
        </row>
        <row r="684">
          <cell r="B684" t="str">
            <v>705-09</v>
          </cell>
          <cell r="C684" t="str">
            <v>Fourniture de vanne guillotine 15/21</v>
          </cell>
          <cell r="D684" t="str">
            <v>U</v>
          </cell>
          <cell r="E684">
            <v>28932.287999999997</v>
          </cell>
          <cell r="F684">
            <v>8.2663679999999999</v>
          </cell>
        </row>
        <row r="686">
          <cell r="B686">
            <v>712</v>
          </cell>
          <cell r="C686" t="str">
            <v>Crépine</v>
          </cell>
        </row>
        <row r="687">
          <cell r="B687" t="str">
            <v>709-01</v>
          </cell>
          <cell r="C687" t="str">
            <v>Fourniture de crépine en inox ou équivalent 80/90</v>
          </cell>
          <cell r="D687" t="str">
            <v>U</v>
          </cell>
          <cell r="E687">
            <v>152625</v>
          </cell>
          <cell r="F687">
            <v>43.607142857142854</v>
          </cell>
        </row>
        <row r="688">
          <cell r="B688" t="str">
            <v>709-02</v>
          </cell>
          <cell r="C688" t="str">
            <v>Fourniture de crépine en inox ou équivalent 66/76</v>
          </cell>
          <cell r="D688" t="str">
            <v>U</v>
          </cell>
          <cell r="E688">
            <v>127187.25</v>
          </cell>
          <cell r="F688">
            <v>36.339214285714284</v>
          </cell>
        </row>
        <row r="689">
          <cell r="B689" t="str">
            <v>709-03</v>
          </cell>
          <cell r="C689" t="str">
            <v>Fourniture de crépine en inox ou équivalent 50/60</v>
          </cell>
          <cell r="D689" t="str">
            <v>U</v>
          </cell>
          <cell r="E689">
            <v>260875.82399999999</v>
          </cell>
          <cell r="F689">
            <v>74.535949714285707</v>
          </cell>
        </row>
        <row r="690">
          <cell r="B690" t="str">
            <v>712-04</v>
          </cell>
          <cell r="C690" t="str">
            <v>Fourniture de crépine en inox ou équivalent 40/49</v>
          </cell>
          <cell r="D690" t="str">
            <v>U</v>
          </cell>
          <cell r="E690">
            <v>162000</v>
          </cell>
          <cell r="F690">
            <v>46.285714285714285</v>
          </cell>
        </row>
        <row r="691">
          <cell r="B691" t="str">
            <v>709-05</v>
          </cell>
          <cell r="C691" t="str">
            <v>Fourniture de crépine en inox ou équivalent 33/42</v>
          </cell>
          <cell r="D691" t="str">
            <v>U</v>
          </cell>
          <cell r="E691">
            <v>17415</v>
          </cell>
          <cell r="F691">
            <v>4.975714285714286</v>
          </cell>
        </row>
        <row r="692">
          <cell r="B692" t="str">
            <v>709-06</v>
          </cell>
          <cell r="C692" t="str">
            <v>Fourniture de crépine en inox ou équivalent 26/33</v>
          </cell>
          <cell r="D692" t="str">
            <v>U</v>
          </cell>
          <cell r="E692">
            <v>13554</v>
          </cell>
          <cell r="F692">
            <v>3.8725714285714288</v>
          </cell>
        </row>
        <row r="693">
          <cell r="B693" t="str">
            <v>709-07</v>
          </cell>
          <cell r="C693" t="str">
            <v>Fourniture de crépine en inox ou équivalent 20/27</v>
          </cell>
          <cell r="D693" t="str">
            <v>U</v>
          </cell>
          <cell r="E693">
            <v>6165</v>
          </cell>
          <cell r="F693">
            <v>1.7614285714285713</v>
          </cell>
        </row>
        <row r="694">
          <cell r="B694" t="str">
            <v>709-08</v>
          </cell>
          <cell r="C694" t="str">
            <v>Fourniture de robinet de puisage en laiton  20/27 de type à béquille</v>
          </cell>
          <cell r="D694" t="str">
            <v>U</v>
          </cell>
          <cell r="E694">
            <v>46026.6</v>
          </cell>
          <cell r="F694">
            <v>13.150457142857142</v>
          </cell>
        </row>
        <row r="695">
          <cell r="B695" t="str">
            <v>709-09</v>
          </cell>
          <cell r="C695" t="str">
            <v>Fourniture de robinet de puisage en laiton  15/21 de type à béquille</v>
          </cell>
          <cell r="D695" t="str">
            <v>U</v>
          </cell>
          <cell r="E695">
            <v>44013.3</v>
          </cell>
          <cell r="F695">
            <v>12.575228571428573</v>
          </cell>
        </row>
        <row r="696">
          <cell r="B696" t="str">
            <v>709-10</v>
          </cell>
          <cell r="C696" t="str">
            <v>Fourniture et pose d’une aération en tuyau  galvanisé 40/49</v>
          </cell>
          <cell r="D696" t="str">
            <v>U</v>
          </cell>
          <cell r="E696">
            <v>47149.5</v>
          </cell>
          <cell r="F696">
            <v>13.471285714285715</v>
          </cell>
        </row>
        <row r="697">
          <cell r="B697" t="str">
            <v>709-11</v>
          </cell>
          <cell r="C697" t="str">
            <v>Fourniture et pose de d’une aération en tuyau  galvanisé 33/42</v>
          </cell>
          <cell r="D697" t="str">
            <v>U</v>
          </cell>
          <cell r="E697">
            <v>31754</v>
          </cell>
          <cell r="F697">
            <v>9.072571428571429</v>
          </cell>
        </row>
        <row r="698">
          <cell r="B698" t="str">
            <v>709-12</v>
          </cell>
          <cell r="C698" t="str">
            <v>Fourniture et pose de d’une aération en tuyau galvanisé 26/33</v>
          </cell>
          <cell r="D698" t="str">
            <v>U</v>
          </cell>
          <cell r="E698">
            <v>29825</v>
          </cell>
          <cell r="F698">
            <v>8.5214285714285722</v>
          </cell>
        </row>
        <row r="699">
          <cell r="B699" t="str">
            <v>709-13</v>
          </cell>
          <cell r="C699" t="str">
            <v>Mini-ventouse en tuyau galvanisé 33/42</v>
          </cell>
          <cell r="D699" t="str">
            <v>U</v>
          </cell>
          <cell r="E699">
            <v>59036.25</v>
          </cell>
          <cell r="F699">
            <v>16.8675</v>
          </cell>
        </row>
        <row r="700">
          <cell r="B700" t="str">
            <v>709-14</v>
          </cell>
          <cell r="C700" t="str">
            <v>Fourniture et pose système de fermeture pour regard de vanne</v>
          </cell>
          <cell r="D700" t="str">
            <v>U</v>
          </cell>
          <cell r="E700">
            <v>750</v>
          </cell>
          <cell r="F700">
            <v>0.21428571428571427</v>
          </cell>
        </row>
        <row r="701">
          <cell r="B701" t="str">
            <v>709-15</v>
          </cell>
          <cell r="C701" t="str">
            <v>Fourniture et pose vanne de type BS D50</v>
          </cell>
          <cell r="D701" t="str">
            <v>U</v>
          </cell>
          <cell r="E701">
            <v>134068.704</v>
          </cell>
          <cell r="F701">
            <v>38.305343999999998</v>
          </cell>
        </row>
        <row r="703">
          <cell r="B703" t="str">
            <v>730P</v>
          </cell>
          <cell r="C703" t="str">
            <v>Fourniture et pose Bouchon sr</v>
          </cell>
        </row>
        <row r="704">
          <cell r="B704" t="str">
            <v>363-09-d</v>
          </cell>
          <cell r="C704" t="str">
            <v>Fourniture et pose de bouchon DN90</v>
          </cell>
          <cell r="D704" t="str">
            <v>U</v>
          </cell>
          <cell r="E704">
            <v>103086.93120000001</v>
          </cell>
          <cell r="H704" t="e">
            <v>#REF!</v>
          </cell>
          <cell r="I704" t="e">
            <v>#REF!</v>
          </cell>
        </row>
        <row r="705">
          <cell r="B705" t="str">
            <v>363-09-e</v>
          </cell>
          <cell r="C705" t="str">
            <v>Fourniture et pose de bouchon DN75</v>
          </cell>
          <cell r="D705" t="str">
            <v>U</v>
          </cell>
          <cell r="E705">
            <v>64126.867200000001</v>
          </cell>
          <cell r="H705" t="e">
            <v>#REF!</v>
          </cell>
          <cell r="I705" t="e">
            <v>#REF!</v>
          </cell>
        </row>
        <row r="706">
          <cell r="B706" t="str">
            <v>363-09-f</v>
          </cell>
          <cell r="C706" t="str">
            <v>Fourniture et pose de bouchon DN63</v>
          </cell>
          <cell r="D706" t="str">
            <v>U</v>
          </cell>
          <cell r="E706">
            <v>31719.177600000003</v>
          </cell>
          <cell r="H706" t="e">
            <v>#REF!</v>
          </cell>
          <cell r="I706" t="e">
            <v>#REF!</v>
          </cell>
        </row>
        <row r="707">
          <cell r="B707" t="str">
            <v>363-09-g</v>
          </cell>
          <cell r="C707" t="str">
            <v>Fourniture et pose de bouchon DN50</v>
          </cell>
          <cell r="D707" t="str">
            <v>U</v>
          </cell>
          <cell r="E707">
            <v>23041.7088</v>
          </cell>
          <cell r="H707" t="e">
            <v>#REF!</v>
          </cell>
          <cell r="I707" t="e">
            <v>#REF!</v>
          </cell>
        </row>
        <row r="708">
          <cell r="B708" t="str">
            <v>363-09-h</v>
          </cell>
          <cell r="C708" t="str">
            <v>Fourniture et pose de bouchon DN40</v>
          </cell>
          <cell r="D708" t="str">
            <v>U</v>
          </cell>
          <cell r="E708">
            <v>17020.608</v>
          </cell>
          <cell r="H708" t="e">
            <v>#REF!</v>
          </cell>
          <cell r="I708" t="e">
            <v>#REF!</v>
          </cell>
        </row>
        <row r="709">
          <cell r="B709" t="str">
            <v>363-09-i</v>
          </cell>
          <cell r="C709" t="str">
            <v>Fourniture et pose de bouchon DN32</v>
          </cell>
          <cell r="D709" t="str">
            <v>U</v>
          </cell>
          <cell r="E709">
            <v>10508.388000000001</v>
          </cell>
          <cell r="H709" t="e">
            <v>#REF!</v>
          </cell>
          <cell r="I709" t="e">
            <v>#REF!</v>
          </cell>
        </row>
        <row r="710">
          <cell r="B710" t="str">
            <v>363-09-j</v>
          </cell>
          <cell r="C710" t="str">
            <v>Fourniture et pose de bouchon DN25</v>
          </cell>
          <cell r="D710" t="str">
            <v>U</v>
          </cell>
          <cell r="E710">
            <v>8490.3719999999994</v>
          </cell>
          <cell r="H710" t="e">
            <v>#REF!</v>
          </cell>
          <cell r="I710" t="e">
            <v>#REF!</v>
          </cell>
        </row>
        <row r="712">
          <cell r="B712" t="str">
            <v>404p</v>
          </cell>
          <cell r="C712" t="str">
            <v>Fourniture et pose équipement et appareillage</v>
          </cell>
        </row>
        <row r="713">
          <cell r="B713" t="str">
            <v>563-06-a</v>
          </cell>
          <cell r="C713" t="str">
            <v>Fourniture et pose de Clapet anti-retour galvanisé 80/90</v>
          </cell>
          <cell r="D713" t="str">
            <v>U</v>
          </cell>
          <cell r="E713">
            <v>210000</v>
          </cell>
          <cell r="F713">
            <v>60</v>
          </cell>
        </row>
        <row r="714">
          <cell r="B714" t="str">
            <v>563-06-b</v>
          </cell>
          <cell r="C714" t="str">
            <v>Fourniture et pose   de Clapet anti-retour   galvanisé 66/76</v>
          </cell>
          <cell r="D714" t="str">
            <v>U</v>
          </cell>
          <cell r="E714">
            <v>144900</v>
          </cell>
          <cell r="F714">
            <v>41.4</v>
          </cell>
        </row>
        <row r="715">
          <cell r="B715" t="str">
            <v>563-06-c</v>
          </cell>
          <cell r="C715" t="str">
            <v>Fourniture et pose   de Clapet anti-retour  galvanisé 50/60</v>
          </cell>
          <cell r="D715" t="str">
            <v>U</v>
          </cell>
          <cell r="E715">
            <v>106680</v>
          </cell>
          <cell r="F715">
            <v>30.48</v>
          </cell>
        </row>
        <row r="716">
          <cell r="B716" t="str">
            <v>563-06-d</v>
          </cell>
          <cell r="C716" t="str">
            <v>Fourniture et pose   de Clapet anti-retour  galvanisé 40/49</v>
          </cell>
          <cell r="D716" t="str">
            <v>U</v>
          </cell>
          <cell r="E716">
            <v>77700</v>
          </cell>
          <cell r="F716">
            <v>22.2</v>
          </cell>
        </row>
        <row r="717">
          <cell r="B717" t="str">
            <v>563-06-e</v>
          </cell>
          <cell r="C717" t="str">
            <v>Fourniture et pose   de Clapet anti-retour  galvanisé 33/42</v>
          </cell>
          <cell r="D717" t="str">
            <v>U</v>
          </cell>
          <cell r="E717">
            <v>55000</v>
          </cell>
        </row>
        <row r="719">
          <cell r="B719">
            <v>702</v>
          </cell>
          <cell r="C719" t="str">
            <v>Ventouse</v>
          </cell>
          <cell r="F719">
            <v>0</v>
          </cell>
        </row>
        <row r="720">
          <cell r="B720" t="str">
            <v>702-01</v>
          </cell>
          <cell r="C720" t="str">
            <v>Fourniture et pose de Ventouse simple ou Purgeur DN100</v>
          </cell>
          <cell r="D720" t="str">
            <v>U</v>
          </cell>
          <cell r="E720">
            <v>642600</v>
          </cell>
          <cell r="F720">
            <v>183.6</v>
          </cell>
        </row>
        <row r="721">
          <cell r="B721" t="str">
            <v>702-02</v>
          </cell>
          <cell r="C721" t="str">
            <v>Fourniture et pose  Ventouse simple ou Purgeur DN60</v>
          </cell>
          <cell r="D721" t="str">
            <v>U</v>
          </cell>
          <cell r="E721">
            <v>609000</v>
          </cell>
          <cell r="F721">
            <v>174</v>
          </cell>
        </row>
        <row r="722">
          <cell r="B722" t="str">
            <v>702-03</v>
          </cell>
          <cell r="C722" t="str">
            <v>Fourniture et pose  Ventouse simple ou Purgeur DN40</v>
          </cell>
          <cell r="D722" t="str">
            <v>U</v>
          </cell>
          <cell r="E722">
            <v>996000</v>
          </cell>
          <cell r="F722">
            <v>284.57142857142856</v>
          </cell>
        </row>
        <row r="723">
          <cell r="B723" t="str">
            <v>702-04</v>
          </cell>
          <cell r="C723" t="str">
            <v>Fourniture et pose  Ventouse simple ou Purgeur DN32</v>
          </cell>
          <cell r="D723" t="str">
            <v>U</v>
          </cell>
          <cell r="E723">
            <v>609000</v>
          </cell>
          <cell r="F723">
            <v>174</v>
          </cell>
        </row>
        <row r="724">
          <cell r="B724" t="str">
            <v>702-05</v>
          </cell>
          <cell r="C724" t="str">
            <v>Fourniture et pose Ventouse simple ou Purgeur DN50</v>
          </cell>
          <cell r="D724" t="str">
            <v>U</v>
          </cell>
          <cell r="E724">
            <v>609000</v>
          </cell>
          <cell r="F724">
            <v>174</v>
          </cell>
        </row>
        <row r="726">
          <cell r="B726">
            <v>703</v>
          </cell>
          <cell r="C726" t="str">
            <v>Compteur</v>
          </cell>
          <cell r="E726">
            <v>0</v>
          </cell>
        </row>
        <row r="727">
          <cell r="B727" t="str">
            <v>703-01</v>
          </cell>
          <cell r="C727" t="str">
            <v>Fourniture et pose de Compteur volumetrique DN 100</v>
          </cell>
          <cell r="D727" t="str">
            <v>U</v>
          </cell>
          <cell r="E727">
            <v>1250000</v>
          </cell>
        </row>
        <row r="728">
          <cell r="B728" t="str">
            <v>703-02</v>
          </cell>
          <cell r="C728" t="str">
            <v xml:space="preserve">Fourniture et pose de Compteur volumetrique DN 90 </v>
          </cell>
          <cell r="D728" t="str">
            <v>U</v>
          </cell>
          <cell r="E728">
            <v>989500</v>
          </cell>
        </row>
        <row r="729">
          <cell r="B729" t="str">
            <v>703-03</v>
          </cell>
          <cell r="C729" t="str">
            <v>Fourniture et pose de Compteur volumetrique DN 75</v>
          </cell>
          <cell r="D729" t="str">
            <v>U</v>
          </cell>
          <cell r="E729">
            <v>745200</v>
          </cell>
          <cell r="F729">
            <v>208.79999999999998</v>
          </cell>
        </row>
        <row r="730">
          <cell r="B730" t="str">
            <v>703-04</v>
          </cell>
          <cell r="C730" t="str">
            <v>Fourniture et Pose  de Compteur volumetrique DN 60</v>
          </cell>
          <cell r="D730" t="str">
            <v>U</v>
          </cell>
          <cell r="E730">
            <v>631620</v>
          </cell>
          <cell r="F730" t="e">
            <v>#REF!</v>
          </cell>
        </row>
        <row r="731">
          <cell r="B731" t="str">
            <v>703-05</v>
          </cell>
          <cell r="C731" t="str">
            <v>Fourniture et pose de Compteur volumetrique DN 50</v>
          </cell>
          <cell r="D731" t="str">
            <v>U</v>
          </cell>
          <cell r="E731">
            <v>507500</v>
          </cell>
        </row>
        <row r="732">
          <cell r="B732" t="str">
            <v>703-06</v>
          </cell>
          <cell r="C732" t="str">
            <v xml:space="preserve">Fourniture et pose de Compteur volumetrique DN 40 </v>
          </cell>
          <cell r="D732" t="str">
            <v>U</v>
          </cell>
          <cell r="E732">
            <v>498500</v>
          </cell>
          <cell r="F732" t="e">
            <v>#REF!</v>
          </cell>
        </row>
        <row r="733">
          <cell r="B733" t="str">
            <v>703-07</v>
          </cell>
          <cell r="C733" t="str">
            <v xml:space="preserve">Fourniture et pose de Compteur volumetrique DN 32 </v>
          </cell>
          <cell r="D733" t="str">
            <v>U</v>
          </cell>
          <cell r="E733">
            <v>415200</v>
          </cell>
        </row>
        <row r="734">
          <cell r="B734" t="str">
            <v>703-08</v>
          </cell>
          <cell r="C734" t="str">
            <v xml:space="preserve">Fourniture et pose de Compteur volumetrique DN 25 </v>
          </cell>
          <cell r="D734" t="str">
            <v>U</v>
          </cell>
          <cell r="E734">
            <v>398500</v>
          </cell>
        </row>
        <row r="737">
          <cell r="B737">
            <v>706</v>
          </cell>
          <cell r="C737" t="str">
            <v>Fourniture de robinet flotteur</v>
          </cell>
          <cell r="F737">
            <v>0</v>
          </cell>
        </row>
        <row r="738">
          <cell r="B738" t="str">
            <v>706-01</v>
          </cell>
          <cell r="C738" t="str">
            <v>Fourniture de robinet à flotteur galvanisé 80/90</v>
          </cell>
          <cell r="D738" t="str">
            <v>U</v>
          </cell>
          <cell r="E738">
            <v>204964.5</v>
          </cell>
          <cell r="F738">
            <v>58.561285714285717</v>
          </cell>
        </row>
        <row r="739">
          <cell r="B739" t="str">
            <v>706-02</v>
          </cell>
          <cell r="C739" t="str">
            <v>Fourniture de robinet à flotteur galvanisé 66/76</v>
          </cell>
          <cell r="D739" t="str">
            <v>U</v>
          </cell>
          <cell r="E739">
            <v>192482.25</v>
          </cell>
          <cell r="F739">
            <v>54.994928571428574</v>
          </cell>
        </row>
        <row r="740">
          <cell r="B740" t="str">
            <v>706-03</v>
          </cell>
          <cell r="C740" t="str">
            <v>Fourniture de robinet à flotteur galvanisé  50/60</v>
          </cell>
          <cell r="D740" t="str">
            <v>U</v>
          </cell>
          <cell r="E740">
            <v>180000</v>
          </cell>
          <cell r="F740">
            <v>51.428571428571431</v>
          </cell>
        </row>
        <row r="741">
          <cell r="B741" t="str">
            <v>706-04</v>
          </cell>
          <cell r="C741" t="str">
            <v>Fourniture de robinet à flotteur galvanisé  40/49</v>
          </cell>
          <cell r="D741" t="str">
            <v>U</v>
          </cell>
          <cell r="E741">
            <v>135000</v>
          </cell>
          <cell r="F741">
            <v>38.571428571428569</v>
          </cell>
        </row>
        <row r="742">
          <cell r="B742" t="str">
            <v>706-05</v>
          </cell>
          <cell r="C742" t="str">
            <v>Fourniture de robinet à flotteur galvanisé 33/42</v>
          </cell>
          <cell r="D742" t="str">
            <v>U</v>
          </cell>
          <cell r="E742">
            <v>126000</v>
          </cell>
          <cell r="F742">
            <v>36</v>
          </cell>
        </row>
        <row r="743">
          <cell r="B743" t="str">
            <v>706-06</v>
          </cell>
          <cell r="C743" t="str">
            <v>Fourniture de robinet à flotteur galvanisé 26/33</v>
          </cell>
          <cell r="D743" t="str">
            <v>U</v>
          </cell>
          <cell r="E743">
            <v>90000</v>
          </cell>
          <cell r="F743">
            <v>25.714285714285715</v>
          </cell>
        </row>
        <row r="744">
          <cell r="B744" t="str">
            <v>706-07</v>
          </cell>
          <cell r="C744" t="str">
            <v>Fourniture de robinet à flotteur galvanisé  20/27</v>
          </cell>
          <cell r="D744" t="str">
            <v>U</v>
          </cell>
          <cell r="E744">
            <v>72000</v>
          </cell>
          <cell r="F744">
            <v>20.571428571428573</v>
          </cell>
        </row>
        <row r="745">
          <cell r="F745">
            <v>0</v>
          </cell>
        </row>
        <row r="746">
          <cell r="F746">
            <v>0</v>
          </cell>
        </row>
        <row r="747">
          <cell r="B747">
            <v>706</v>
          </cell>
          <cell r="C747" t="str">
            <v>Fourniture et pose de robinet flotteur</v>
          </cell>
        </row>
        <row r="748">
          <cell r="B748" t="str">
            <v>706-1</v>
          </cell>
          <cell r="C748" t="str">
            <v>Fourniture et pose de robinet floteur 20/27</v>
          </cell>
          <cell r="D748" t="str">
            <v>U</v>
          </cell>
          <cell r="E748">
            <v>75931.152000000002</v>
          </cell>
          <cell r="F748">
            <v>21.694614857142859</v>
          </cell>
        </row>
        <row r="749">
          <cell r="B749" t="str">
            <v>706-2</v>
          </cell>
          <cell r="C749" t="str">
            <v>Fourniture et pose de robinet floteur 26/34</v>
          </cell>
          <cell r="D749" t="str">
            <v>U</v>
          </cell>
          <cell r="E749">
            <v>155565.16800000001</v>
          </cell>
          <cell r="F749">
            <v>44.447190857142857</v>
          </cell>
        </row>
        <row r="750">
          <cell r="B750" t="str">
            <v>706-3</v>
          </cell>
          <cell r="C750" t="str">
            <v>Fourniture et pose de robinet floteur 33/42</v>
          </cell>
          <cell r="D750" t="str">
            <v>U</v>
          </cell>
          <cell r="E750">
            <v>220187.61600000001</v>
          </cell>
          <cell r="F750">
            <v>62.910747428571433</v>
          </cell>
        </row>
        <row r="751">
          <cell r="B751" t="str">
            <v>706-4</v>
          </cell>
          <cell r="C751" t="str">
            <v>Fourniture et pose de robinet floteur 40/49</v>
          </cell>
          <cell r="D751" t="str">
            <v>U</v>
          </cell>
          <cell r="E751">
            <v>387290.11199999996</v>
          </cell>
          <cell r="F751">
            <v>110.65431771428571</v>
          </cell>
        </row>
        <row r="752">
          <cell r="B752" t="str">
            <v>706-5</v>
          </cell>
          <cell r="C752" t="str">
            <v>Fourniture et pose de robinet floteur 50/60</v>
          </cell>
          <cell r="D752" t="str">
            <v>U</v>
          </cell>
          <cell r="E752">
            <v>459309.84</v>
          </cell>
          <cell r="F752">
            <v>131.23138285714288</v>
          </cell>
        </row>
        <row r="753">
          <cell r="B753" t="str">
            <v>706-6</v>
          </cell>
          <cell r="C753" t="str">
            <v>Fourniture et pose de robinet floteur 66/76</v>
          </cell>
          <cell r="D753" t="str">
            <v>U</v>
          </cell>
          <cell r="E753">
            <v>742601.90399999998</v>
          </cell>
          <cell r="F753">
            <v>212.17197257142857</v>
          </cell>
        </row>
        <row r="754">
          <cell r="B754" t="str">
            <v>706-7</v>
          </cell>
          <cell r="C754" t="str">
            <v>Fourniture et pose de robinet floteur 80/90</v>
          </cell>
          <cell r="D754" t="str">
            <v>U</v>
          </cell>
          <cell r="E754">
            <v>990646.8</v>
          </cell>
          <cell r="F754">
            <v>283.04194285714289</v>
          </cell>
        </row>
        <row r="755">
          <cell r="F755">
            <v>0</v>
          </cell>
        </row>
        <row r="756">
          <cell r="B756">
            <v>707</v>
          </cell>
          <cell r="C756" t="str">
            <v>Robinet de puisage en laiton</v>
          </cell>
        </row>
        <row r="757">
          <cell r="B757" t="str">
            <v>707-01</v>
          </cell>
          <cell r="C757" t="str">
            <v>Fourniture et pose de robinet de puisage en laiton  20/27 de type à béquille</v>
          </cell>
          <cell r="D757" t="str">
            <v>U</v>
          </cell>
          <cell r="E757">
            <v>49394.400000000001</v>
          </cell>
          <cell r="F757">
            <v>14.112685714285714</v>
          </cell>
        </row>
        <row r="758">
          <cell r="B758" t="str">
            <v>707-02</v>
          </cell>
          <cell r="C758" t="str">
            <v>Fourniture et pose de robinet de puisage en laiton  15/21 de type à béquille</v>
          </cell>
          <cell r="D758" t="str">
            <v>U</v>
          </cell>
          <cell r="E758">
            <v>36026.6</v>
          </cell>
          <cell r="F758">
            <v>10.293314285714285</v>
          </cell>
        </row>
        <row r="759">
          <cell r="F759">
            <v>0</v>
          </cell>
        </row>
        <row r="760">
          <cell r="B760">
            <v>708</v>
          </cell>
          <cell r="C760" t="str">
            <v xml:space="preserve">Fourniture et pose d'une aération </v>
          </cell>
        </row>
        <row r="761">
          <cell r="B761" t="str">
            <v>708-1</v>
          </cell>
          <cell r="C761" t="str">
            <v>Fourniture et pose de d’une aération en tuyau  galvanisé 66/76</v>
          </cell>
          <cell r="D761" t="str">
            <v>U</v>
          </cell>
          <cell r="E761">
            <v>75500</v>
          </cell>
          <cell r="F761">
            <v>21.571428571428573</v>
          </cell>
        </row>
        <row r="762">
          <cell r="B762" t="str">
            <v>708-2</v>
          </cell>
          <cell r="C762" t="str">
            <v>Fourniture et pose de d’une aération en tuyau  galvanisé 50/60</v>
          </cell>
          <cell r="D762" t="str">
            <v>U</v>
          </cell>
          <cell r="E762">
            <v>63200</v>
          </cell>
          <cell r="F762">
            <v>18.057142857142857</v>
          </cell>
        </row>
        <row r="763">
          <cell r="B763" t="str">
            <v>708-3</v>
          </cell>
          <cell r="C763" t="str">
            <v>Fourniture et pose de d’une aération en tuyau galvanisé 40/49</v>
          </cell>
          <cell r="D763" t="str">
            <v>U</v>
          </cell>
          <cell r="E763">
            <v>44300</v>
          </cell>
          <cell r="F763">
            <v>12.657142857142857</v>
          </cell>
        </row>
        <row r="764">
          <cell r="F764">
            <v>0</v>
          </cell>
        </row>
        <row r="765">
          <cell r="B765">
            <v>709</v>
          </cell>
          <cell r="C765" t="str">
            <v>Accesoires divers</v>
          </cell>
        </row>
        <row r="766">
          <cell r="B766" t="str">
            <v>709-1</v>
          </cell>
          <cell r="C766" t="str">
            <v>Fourniture et pose compteur calibre 27</v>
          </cell>
          <cell r="D766" t="str">
            <v>U</v>
          </cell>
          <cell r="E766">
            <v>99144</v>
          </cell>
          <cell r="F766">
            <v>28.326857142857143</v>
          </cell>
        </row>
        <row r="767">
          <cell r="B767" t="str">
            <v>709-2</v>
          </cell>
          <cell r="C767" t="str">
            <v>Fourniture et pose de crépine inox 80/90</v>
          </cell>
          <cell r="D767" t="str">
            <v>U</v>
          </cell>
          <cell r="E767">
            <v>430000</v>
          </cell>
          <cell r="F767">
            <v>122.85714285714286</v>
          </cell>
        </row>
        <row r="768">
          <cell r="B768" t="str">
            <v>709-3</v>
          </cell>
          <cell r="C768" t="str">
            <v>Fourniture et pose de crépine inox 66/76</v>
          </cell>
          <cell r="D768" t="str">
            <v>U</v>
          </cell>
          <cell r="E768">
            <v>350000</v>
          </cell>
          <cell r="F768">
            <v>100</v>
          </cell>
        </row>
        <row r="769">
          <cell r="B769" t="str">
            <v>709-4</v>
          </cell>
          <cell r="C769" t="str">
            <v>Fourniture et pose de crépine inox 50/60</v>
          </cell>
          <cell r="D769" t="str">
            <v>U</v>
          </cell>
          <cell r="E769">
            <v>260875.82399999999</v>
          </cell>
          <cell r="F769">
            <v>74.535949714285707</v>
          </cell>
        </row>
        <row r="770">
          <cell r="B770" t="str">
            <v>709-5</v>
          </cell>
          <cell r="C770" t="str">
            <v>Fourniture et pose de crépine inox 33/42</v>
          </cell>
          <cell r="D770" t="str">
            <v>U</v>
          </cell>
          <cell r="E770">
            <v>150000</v>
          </cell>
          <cell r="F770">
            <v>42.857142857142854</v>
          </cell>
        </row>
        <row r="771">
          <cell r="B771" t="str">
            <v>709-6</v>
          </cell>
          <cell r="C771" t="str">
            <v>Fourniture et pose de crépine inox 26/33</v>
          </cell>
          <cell r="D771" t="str">
            <v>U</v>
          </cell>
          <cell r="E771">
            <v>144000</v>
          </cell>
          <cell r="F771">
            <v>41.142857142857146</v>
          </cell>
        </row>
        <row r="772">
          <cell r="B772" t="str">
            <v>709-7</v>
          </cell>
          <cell r="C772" t="str">
            <v>Fourniture et pose Buselure</v>
          </cell>
          <cell r="D772" t="str">
            <v>U</v>
          </cell>
          <cell r="E772">
            <v>18000</v>
          </cell>
          <cell r="F772">
            <v>5.1428571428571432</v>
          </cell>
        </row>
        <row r="773">
          <cell r="B773" t="str">
            <v>709-8</v>
          </cell>
          <cell r="C773" t="str">
            <v xml:space="preserve">Fourniture et installation kit d'irrigation </v>
          </cell>
          <cell r="D773" t="str">
            <v>Ens</v>
          </cell>
          <cell r="E773">
            <v>1000000</v>
          </cell>
          <cell r="F773">
            <v>285.71428571428572</v>
          </cell>
        </row>
        <row r="775">
          <cell r="B775" t="str">
            <v>720F</v>
          </cell>
          <cell r="C775" t="str">
            <v>Fourniture Collier de prise en charge fileté taraudé  sur canalisation PVC/PE</v>
          </cell>
        </row>
        <row r="776">
          <cell r="B776" t="str">
            <v>461-11-a</v>
          </cell>
          <cell r="C776" t="str">
            <v>Fourniture de Collier de prise taraudé 90*1"</v>
          </cell>
          <cell r="D776" t="str">
            <v>U</v>
          </cell>
          <cell r="E776">
            <v>9780</v>
          </cell>
          <cell r="F776">
            <v>2.2999999999999998</v>
          </cell>
        </row>
        <row r="777">
          <cell r="B777" t="str">
            <v>461-11-b</v>
          </cell>
          <cell r="C777" t="str">
            <v>Fourniture de Collier de prise taraudé 75*1"</v>
          </cell>
          <cell r="D777" t="str">
            <v>U</v>
          </cell>
          <cell r="E777">
            <v>6177.6000000000013</v>
          </cell>
          <cell r="F777">
            <v>2.2999999999999998</v>
          </cell>
        </row>
        <row r="778">
          <cell r="B778" t="str">
            <v>461-11-c</v>
          </cell>
          <cell r="C778" t="str">
            <v>Fourniture de Collier de prise taraudé 75*3/4"</v>
          </cell>
          <cell r="D778" t="str">
            <v>U</v>
          </cell>
          <cell r="E778">
            <v>6177.6000000000013</v>
          </cell>
          <cell r="F778">
            <v>2.4499999999999997</v>
          </cell>
        </row>
        <row r="779">
          <cell r="B779" t="str">
            <v>461-11-d</v>
          </cell>
          <cell r="C779" t="str">
            <v>Fourniture de Collier de prise taraudé 63*1"</v>
          </cell>
          <cell r="D779" t="str">
            <v>U</v>
          </cell>
          <cell r="E779">
            <v>3987.36</v>
          </cell>
          <cell r="F779">
            <v>2.73</v>
          </cell>
        </row>
        <row r="780">
          <cell r="B780" t="str">
            <v>461-11-e</v>
          </cell>
          <cell r="C780" t="str">
            <v>Fourniture de Collier de prise taraudé 63*3/4"</v>
          </cell>
          <cell r="D780" t="str">
            <v>U</v>
          </cell>
          <cell r="E780">
            <v>3987.36</v>
          </cell>
          <cell r="F780">
            <v>3.6119999999999997</v>
          </cell>
        </row>
        <row r="781">
          <cell r="B781" t="str">
            <v>461-11-f</v>
          </cell>
          <cell r="C781" t="str">
            <v>Fourniture de Collier de prise taraudé 50*1"</v>
          </cell>
          <cell r="D781" t="str">
            <v>U</v>
          </cell>
          <cell r="E781">
            <v>2695.6800000000003</v>
          </cell>
          <cell r="F781">
            <v>5.46</v>
          </cell>
        </row>
        <row r="782">
          <cell r="B782" t="str">
            <v>461-11-g</v>
          </cell>
          <cell r="C782" t="str">
            <v>Fourniture de Collier de prise taraudé 50*3/4"</v>
          </cell>
          <cell r="D782" t="str">
            <v>U</v>
          </cell>
          <cell r="E782">
            <v>2695.6800000000003</v>
          </cell>
          <cell r="F782">
            <v>11.06</v>
          </cell>
        </row>
        <row r="783">
          <cell r="B783" t="str">
            <v>461-11-h</v>
          </cell>
          <cell r="C783" t="str">
            <v>Fourniture de Collier de prise taraudé 40*1"</v>
          </cell>
          <cell r="D783" t="str">
            <v>U</v>
          </cell>
          <cell r="E783">
            <v>2302.56</v>
          </cell>
          <cell r="F783">
            <v>19.46</v>
          </cell>
        </row>
        <row r="784">
          <cell r="B784" t="str">
            <v>461-11-i</v>
          </cell>
          <cell r="C784" t="str">
            <v>Fourniture de Collier de prise taraudé 40*3/4"</v>
          </cell>
          <cell r="D784" t="str">
            <v>U</v>
          </cell>
          <cell r="E784">
            <v>2302.56</v>
          </cell>
          <cell r="F784">
            <v>25.759999999999998</v>
          </cell>
        </row>
        <row r="785">
          <cell r="B785" t="str">
            <v>461-11-j</v>
          </cell>
          <cell r="C785" t="str">
            <v>Fourniture de Collier de prise taraudé 32*1"</v>
          </cell>
          <cell r="D785" t="str">
            <v>U</v>
          </cell>
          <cell r="E785">
            <v>2302.56</v>
          </cell>
          <cell r="F785">
            <v>32.9</v>
          </cell>
        </row>
        <row r="786">
          <cell r="B786" t="str">
            <v>461-11-k</v>
          </cell>
          <cell r="C786" t="str">
            <v>Fourniture de Collier de prise taraudé 32*3/4"</v>
          </cell>
          <cell r="D786" t="str">
            <v>U</v>
          </cell>
          <cell r="E786">
            <v>1853.28</v>
          </cell>
          <cell r="F786">
            <v>41.72</v>
          </cell>
        </row>
        <row r="787">
          <cell r="B787" t="str">
            <v>461-11-l</v>
          </cell>
          <cell r="C787" t="str">
            <v>Fourniture de Collier de prise taraudé 25*3/4"</v>
          </cell>
          <cell r="D787" t="str">
            <v>U</v>
          </cell>
          <cell r="E787">
            <v>1853.28</v>
          </cell>
          <cell r="F787">
            <v>48.44</v>
          </cell>
        </row>
        <row r="788">
          <cell r="B788" t="str">
            <v>720P</v>
          </cell>
          <cell r="C788" t="str">
            <v>Fourniture et pose Collier de prise en charge fileté taraudé  sur canalisation PVC/PE</v>
          </cell>
        </row>
        <row r="789">
          <cell r="B789" t="str">
            <v>461-12-a</v>
          </cell>
          <cell r="C789" t="str">
            <v>Fourniture et pose de Collier de prise taraudé 90*1"</v>
          </cell>
          <cell r="D789" t="str">
            <v>U</v>
          </cell>
          <cell r="E789">
            <v>52562.400000000001</v>
          </cell>
        </row>
        <row r="790">
          <cell r="B790" t="str">
            <v>461-12-b</v>
          </cell>
          <cell r="C790" t="str">
            <v>Fourniture et pose de Collier de prise taraudé 75*1"</v>
          </cell>
          <cell r="D790" t="str">
            <v>U</v>
          </cell>
          <cell r="E790">
            <v>27450.456000000002</v>
          </cell>
        </row>
        <row r="791">
          <cell r="B791" t="str">
            <v>461-12-c</v>
          </cell>
          <cell r="C791" t="str">
            <v>Fourniture et pose de Collier de prise taraudé 75*3/4"</v>
          </cell>
          <cell r="D791" t="str">
            <v>U</v>
          </cell>
          <cell r="E791">
            <v>27450.456000000002</v>
          </cell>
        </row>
        <row r="792">
          <cell r="B792" t="str">
            <v>461-12-d</v>
          </cell>
          <cell r="C792" t="str">
            <v>Fourniture et pose de Collier de prise taraudé 63*1"</v>
          </cell>
          <cell r="D792" t="str">
            <v>U</v>
          </cell>
          <cell r="E792">
            <v>16951.663199999999</v>
          </cell>
        </row>
        <row r="793">
          <cell r="B793" t="str">
            <v>461-12-e</v>
          </cell>
          <cell r="C793" t="str">
            <v>Fourniture et pose de Collier de prise taraudé 63*3/4"</v>
          </cell>
          <cell r="D793" t="str">
            <v>U</v>
          </cell>
          <cell r="E793">
            <v>18614.428800000002</v>
          </cell>
        </row>
        <row r="794">
          <cell r="B794" t="str">
            <v>461-12-f</v>
          </cell>
          <cell r="C794" t="str">
            <v>Fourniture et pose de Collier de prise taraudé 50*1"</v>
          </cell>
          <cell r="D794" t="str">
            <v>U</v>
          </cell>
          <cell r="E794">
            <v>12991.26</v>
          </cell>
        </row>
        <row r="795">
          <cell r="B795" t="str">
            <v>461-12-g</v>
          </cell>
          <cell r="C795" t="str">
            <v>Fourniture et pose de Collier de prise taraudé 50*3/4"</v>
          </cell>
          <cell r="D795" t="str">
            <v>U</v>
          </cell>
          <cell r="E795">
            <v>14364.24</v>
          </cell>
        </row>
        <row r="796">
          <cell r="B796" t="str">
            <v>461-12-h</v>
          </cell>
          <cell r="C796" t="str">
            <v>Fourniture et pose de Collier de prise taraudé 40*1"</v>
          </cell>
          <cell r="D796" t="str">
            <v>U</v>
          </cell>
          <cell r="E796">
            <v>11671.125599999999</v>
          </cell>
        </row>
        <row r="797">
          <cell r="B797" t="str">
            <v>461-12-i</v>
          </cell>
          <cell r="C797" t="str">
            <v>Fourniture et pose de Collier de prise taraudé 40*3/4"</v>
          </cell>
          <cell r="D797" t="str">
            <v>U</v>
          </cell>
          <cell r="E797">
            <v>12947.510399999999</v>
          </cell>
        </row>
        <row r="798">
          <cell r="B798" t="str">
            <v>461-12-j</v>
          </cell>
          <cell r="C798" t="str">
            <v>Fourniture et pose de Collier de prise taraudé 32*1"</v>
          </cell>
          <cell r="D798" t="str">
            <v>U</v>
          </cell>
          <cell r="E798">
            <v>10846.0416</v>
          </cell>
        </row>
        <row r="799">
          <cell r="B799" t="str">
            <v>461-12-k</v>
          </cell>
          <cell r="C799" t="str">
            <v>Fourniture et pose de Collier de prise taraudé 32*3/4"</v>
          </cell>
          <cell r="D799" t="str">
            <v>U</v>
          </cell>
          <cell r="E799">
            <v>12062.054400000001</v>
          </cell>
        </row>
        <row r="800">
          <cell r="B800" t="str">
            <v>461-12-l</v>
          </cell>
          <cell r="C800" t="str">
            <v>Fourniture et pose de Collier de prise taraudé 25*3/4"</v>
          </cell>
          <cell r="D800" t="str">
            <v>U</v>
          </cell>
          <cell r="E800">
            <v>7020.412080000001</v>
          </cell>
        </row>
        <row r="802">
          <cell r="B802" t="str">
            <v>730F</v>
          </cell>
          <cell r="C802" t="str">
            <v>Fourniture des materiels et outillages pour les Technicien locaux</v>
          </cell>
        </row>
        <row r="803">
          <cell r="B803" t="str">
            <v>461-12-m</v>
          </cell>
          <cell r="C803" t="str">
            <v>Un lot de materiel et outillage d'entretien et maintenance du système</v>
          </cell>
          <cell r="D803" t="str">
            <v>U</v>
          </cell>
          <cell r="E803">
            <v>1000000</v>
          </cell>
        </row>
        <row r="807">
          <cell r="C807" t="str">
            <v>Vanne de Chasse 80X140</v>
          </cell>
        </row>
        <row r="808">
          <cell r="C808" t="str">
            <v>Tole TPN 20/10</v>
          </cell>
        </row>
        <row r="809">
          <cell r="C809" t="str">
            <v>Cadre UPN 200</v>
          </cell>
        </row>
        <row r="810">
          <cell r="C810" t="str">
            <v>Volant démontable</v>
          </cell>
        </row>
        <row r="811">
          <cell r="C811" t="str">
            <v>Tige Filetée Tirante Diam 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B9B088-9A38-4980-A8CC-9881CFD18A41}">
  <we:reference id="wa200010215" version="2.0.0.0" store="fr-FR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7"/>
  <sheetViews>
    <sheetView topLeftCell="A56" zoomScale="86" zoomScaleNormal="86" workbookViewId="0">
      <selection activeCell="E30" sqref="E30:E33"/>
    </sheetView>
  </sheetViews>
  <sheetFormatPr baseColWidth="10" defaultColWidth="9.28515625" defaultRowHeight="14.25"/>
  <cols>
    <col min="1" max="1" width="6.5703125" style="1" customWidth="1"/>
    <col min="2" max="2" width="88.7109375" style="1" customWidth="1"/>
    <col min="3" max="3" width="16.140625" style="3" customWidth="1"/>
    <col min="4" max="4" width="11" style="3" customWidth="1"/>
    <col min="5" max="5" width="20" style="2" customWidth="1"/>
    <col min="6" max="6" width="26.85546875" style="4" customWidth="1"/>
    <col min="7" max="7" width="12" style="5" customWidth="1"/>
    <col min="8" max="8" width="9.28515625" style="5" customWidth="1"/>
    <col min="9" max="9" width="23.7109375" style="5" customWidth="1"/>
    <col min="10" max="10" width="9.28515625" style="5" customWidth="1"/>
    <col min="11" max="11" width="12.42578125" style="5" customWidth="1"/>
    <col min="12" max="16384" width="9.28515625" style="5"/>
  </cols>
  <sheetData>
    <row r="1" spans="1:8" ht="75" customHeight="1"/>
    <row r="2" spans="1:8" ht="44.25" customHeight="1">
      <c r="A2" s="6"/>
      <c r="B2" s="158" t="s">
        <v>123</v>
      </c>
      <c r="C2" s="158"/>
      <c r="D2" s="158"/>
      <c r="E2" s="158"/>
      <c r="F2" s="159"/>
    </row>
    <row r="3" spans="1:8" ht="30.75" customHeight="1">
      <c r="A3" s="6"/>
      <c r="B3" s="158" t="s">
        <v>168</v>
      </c>
      <c r="C3" s="158"/>
      <c r="D3" s="158"/>
      <c r="E3" s="158"/>
      <c r="F3" s="159"/>
    </row>
    <row r="4" spans="1:8" s="11" customFormat="1" ht="27.75" customHeight="1">
      <c r="A4" s="7" t="s">
        <v>0</v>
      </c>
      <c r="B4" s="8" t="s">
        <v>1</v>
      </c>
      <c r="C4" s="7" t="s">
        <v>2</v>
      </c>
      <c r="D4" s="9" t="s">
        <v>3</v>
      </c>
      <c r="E4" s="9" t="s">
        <v>4</v>
      </c>
      <c r="F4" s="10" t="s">
        <v>5</v>
      </c>
    </row>
    <row r="5" spans="1:8" ht="27.75" customHeight="1">
      <c r="A5" s="12">
        <v>1</v>
      </c>
      <c r="B5" s="12" t="s">
        <v>6</v>
      </c>
      <c r="C5" s="13"/>
      <c r="D5" s="14"/>
      <c r="E5" s="15"/>
      <c r="F5" s="16"/>
    </row>
    <row r="6" spans="1:8" ht="27.75" customHeight="1">
      <c r="A6" s="17" t="s">
        <v>7</v>
      </c>
      <c r="B6" s="18" t="s">
        <v>8</v>
      </c>
      <c r="C6" s="17" t="s">
        <v>9</v>
      </c>
      <c r="D6" s="19">
        <v>1</v>
      </c>
      <c r="E6" s="72">
        <v>6000000</v>
      </c>
      <c r="F6" s="20">
        <f>+D6*E6</f>
        <v>6000000</v>
      </c>
    </row>
    <row r="7" spans="1:8" ht="27.75" customHeight="1">
      <c r="A7" s="17" t="s">
        <v>10</v>
      </c>
      <c r="B7" s="18" t="s">
        <v>11</v>
      </c>
      <c r="C7" s="17" t="s">
        <v>9</v>
      </c>
      <c r="D7" s="19">
        <v>1</v>
      </c>
      <c r="E7" s="72">
        <v>5000000</v>
      </c>
      <c r="F7" s="20">
        <f>+D7*E7</f>
        <v>5000000</v>
      </c>
    </row>
    <row r="8" spans="1:8" ht="27.75" customHeight="1">
      <c r="A8" s="21"/>
      <c r="B8" s="156" t="s">
        <v>12</v>
      </c>
      <c r="C8" s="156"/>
      <c r="D8" s="156"/>
      <c r="E8" s="157"/>
      <c r="F8" s="67">
        <f>SUM(F6:F7)</f>
        <v>11000000</v>
      </c>
    </row>
    <row r="9" spans="1:8" s="28" customFormat="1" ht="27" customHeight="1">
      <c r="A9" s="25">
        <v>2</v>
      </c>
      <c r="B9" s="25" t="s">
        <v>87</v>
      </c>
      <c r="C9" s="26"/>
      <c r="D9" s="14"/>
      <c r="E9" s="27"/>
      <c r="F9" s="27"/>
    </row>
    <row r="10" spans="1:8" customFormat="1" ht="38.450000000000003" customHeight="1">
      <c r="A10" s="29" t="s">
        <v>50</v>
      </c>
      <c r="B10" s="30" t="s">
        <v>117</v>
      </c>
      <c r="C10" s="106" t="s">
        <v>64</v>
      </c>
      <c r="D10" s="96">
        <v>1</v>
      </c>
      <c r="E10" s="32">
        <v>500000</v>
      </c>
      <c r="F10" s="32">
        <f>+D10*E10</f>
        <v>500000</v>
      </c>
      <c r="H10" s="103"/>
    </row>
    <row r="11" spans="1:8" s="28" customFormat="1" ht="42" customHeight="1">
      <c r="A11" s="29" t="s">
        <v>51</v>
      </c>
      <c r="B11" s="30" t="s">
        <v>121</v>
      </c>
      <c r="C11" s="29" t="s">
        <v>20</v>
      </c>
      <c r="D11" s="96">
        <v>18.5</v>
      </c>
      <c r="E11" s="32">
        <v>24000</v>
      </c>
      <c r="F11" s="32">
        <f>+D11*E11</f>
        <v>444000</v>
      </c>
    </row>
    <row r="12" spans="1:8" s="28" customFormat="1" ht="40.5" customHeight="1">
      <c r="A12" s="29" t="s">
        <v>52</v>
      </c>
      <c r="B12" s="101" t="s">
        <v>116</v>
      </c>
      <c r="C12" s="29" t="s">
        <v>20</v>
      </c>
      <c r="D12" s="96">
        <f>D11/2.2</f>
        <v>8.4090909090909083</v>
      </c>
      <c r="E12" s="32">
        <v>30000</v>
      </c>
      <c r="F12" s="32">
        <f>+D12*E12</f>
        <v>252272.72727272724</v>
      </c>
    </row>
    <row r="13" spans="1:8" s="28" customFormat="1" ht="27" customHeight="1">
      <c r="A13" s="161" t="s">
        <v>88</v>
      </c>
      <c r="B13" s="162"/>
      <c r="C13" s="162"/>
      <c r="D13" s="162"/>
      <c r="E13" s="163"/>
      <c r="F13" s="95">
        <f>SUM(F10:F12)</f>
        <v>1196272.7272727273</v>
      </c>
    </row>
    <row r="14" spans="1:8" ht="27.75" customHeight="1">
      <c r="A14" s="12">
        <v>3</v>
      </c>
      <c r="B14" s="12" t="s">
        <v>13</v>
      </c>
      <c r="C14" s="13"/>
      <c r="D14" s="14"/>
      <c r="E14" s="15"/>
      <c r="F14" s="16"/>
    </row>
    <row r="15" spans="1:8" s="28" customFormat="1" ht="46.5" customHeight="1">
      <c r="A15" s="29" t="s">
        <v>18</v>
      </c>
      <c r="B15" s="30" t="s">
        <v>65</v>
      </c>
      <c r="C15" s="29" t="s">
        <v>20</v>
      </c>
      <c r="D15" s="31">
        <v>8.7799999999999994</v>
      </c>
      <c r="E15" s="32">
        <v>300000</v>
      </c>
      <c r="F15" s="32">
        <f>E15*D15</f>
        <v>2634000</v>
      </c>
    </row>
    <row r="16" spans="1:8" s="28" customFormat="1" ht="48.75" customHeight="1">
      <c r="A16" s="29" t="s">
        <v>21</v>
      </c>
      <c r="B16" s="30" t="s">
        <v>122</v>
      </c>
      <c r="C16" s="29" t="s">
        <v>20</v>
      </c>
      <c r="D16" s="31">
        <f>D15*2</f>
        <v>17.559999999999999</v>
      </c>
      <c r="E16" s="32">
        <v>380000</v>
      </c>
      <c r="F16" s="32">
        <f t="shared" ref="F16:F22" si="0">+D16*E16</f>
        <v>6672799.9999999991</v>
      </c>
    </row>
    <row r="17" spans="1:9" s="28" customFormat="1" ht="35.25" customHeight="1">
      <c r="A17" s="29" t="s">
        <v>24</v>
      </c>
      <c r="B17" s="30" t="s">
        <v>19</v>
      </c>
      <c r="C17" s="94" t="s">
        <v>85</v>
      </c>
      <c r="D17" s="31">
        <f>4.5-1</f>
        <v>3.5</v>
      </c>
      <c r="E17" s="32">
        <v>600000</v>
      </c>
      <c r="F17" s="32">
        <f t="shared" si="0"/>
        <v>2100000</v>
      </c>
      <c r="H17" s="33"/>
      <c r="I17" s="33"/>
    </row>
    <row r="18" spans="1:9" s="28" customFormat="1" ht="47.25" customHeight="1">
      <c r="A18" s="29" t="s">
        <v>74</v>
      </c>
      <c r="B18" s="30" t="s">
        <v>22</v>
      </c>
      <c r="C18" s="29" t="s">
        <v>23</v>
      </c>
      <c r="D18" s="31">
        <f>+D17*90</f>
        <v>315</v>
      </c>
      <c r="E18" s="32">
        <v>12000</v>
      </c>
      <c r="F18" s="32">
        <f t="shared" si="0"/>
        <v>3780000</v>
      </c>
    </row>
    <row r="19" spans="1:9" s="28" customFormat="1" ht="40.5" customHeight="1">
      <c r="A19" s="29" t="s">
        <v>76</v>
      </c>
      <c r="B19" s="30" t="s">
        <v>25</v>
      </c>
      <c r="C19" s="29" t="s">
        <v>26</v>
      </c>
      <c r="D19" s="31">
        <f>+D17*14.2</f>
        <v>49.699999999999996</v>
      </c>
      <c r="E19" s="32">
        <v>25000</v>
      </c>
      <c r="F19" s="32">
        <f t="shared" si="0"/>
        <v>1242500</v>
      </c>
    </row>
    <row r="20" spans="1:9" s="28" customFormat="1" ht="48.75" customHeight="1">
      <c r="A20" s="29" t="s">
        <v>89</v>
      </c>
      <c r="B20" s="30" t="s">
        <v>54</v>
      </c>
      <c r="C20" s="29" t="s">
        <v>20</v>
      </c>
      <c r="D20" s="31">
        <v>28.52</v>
      </c>
      <c r="E20" s="32">
        <v>110000</v>
      </c>
      <c r="F20" s="32">
        <f t="shared" si="0"/>
        <v>3137200</v>
      </c>
    </row>
    <row r="21" spans="1:9" s="28" customFormat="1" ht="33.75" customHeight="1">
      <c r="A21" s="29" t="s">
        <v>90</v>
      </c>
      <c r="B21" s="30" t="s">
        <v>66</v>
      </c>
      <c r="C21" s="29" t="s">
        <v>20</v>
      </c>
      <c r="D21" s="31">
        <v>4.96</v>
      </c>
      <c r="E21" s="72">
        <v>480000</v>
      </c>
      <c r="F21" s="32">
        <f t="shared" si="0"/>
        <v>2380800</v>
      </c>
    </row>
    <row r="22" spans="1:9" ht="49.5" customHeight="1">
      <c r="A22" s="29" t="s">
        <v>91</v>
      </c>
      <c r="B22" s="22" t="s">
        <v>14</v>
      </c>
      <c r="C22" s="23" t="s">
        <v>15</v>
      </c>
      <c r="D22" s="31">
        <v>182.5</v>
      </c>
      <c r="E22" s="72">
        <v>25000</v>
      </c>
      <c r="F22" s="20">
        <f t="shared" si="0"/>
        <v>4562500</v>
      </c>
    </row>
    <row r="23" spans="1:9" ht="21" customHeight="1">
      <c r="A23" s="21"/>
      <c r="B23" s="156" t="s">
        <v>16</v>
      </c>
      <c r="C23" s="156"/>
      <c r="D23" s="156"/>
      <c r="E23" s="157"/>
      <c r="F23" s="24">
        <f>SUM(F15:F22)</f>
        <v>26509800</v>
      </c>
    </row>
    <row r="24" spans="1:9" s="28" customFormat="1" ht="30" customHeight="1">
      <c r="A24" s="25">
        <v>4</v>
      </c>
      <c r="B24" s="25" t="s">
        <v>17</v>
      </c>
      <c r="C24" s="26"/>
      <c r="D24" s="14"/>
      <c r="E24" s="27"/>
      <c r="F24" s="27"/>
    </row>
    <row r="25" spans="1:9" s="28" customFormat="1" ht="35.25" customHeight="1">
      <c r="A25" s="29" t="s">
        <v>61</v>
      </c>
      <c r="B25" s="30" t="s">
        <v>19</v>
      </c>
      <c r="C25" s="29" t="s">
        <v>20</v>
      </c>
      <c r="D25" s="31">
        <v>16</v>
      </c>
      <c r="E25" s="32">
        <v>600000</v>
      </c>
      <c r="F25" s="32">
        <f>+D25*E25</f>
        <v>9600000</v>
      </c>
      <c r="H25" s="33"/>
      <c r="I25" s="33"/>
    </row>
    <row r="26" spans="1:9" s="28" customFormat="1" ht="47.25" customHeight="1">
      <c r="A26" s="29" t="s">
        <v>62</v>
      </c>
      <c r="B26" s="30" t="s">
        <v>22</v>
      </c>
      <c r="C26" s="29" t="s">
        <v>23</v>
      </c>
      <c r="D26" s="31">
        <f>+D25*90</f>
        <v>1440</v>
      </c>
      <c r="E26" s="32">
        <v>12000</v>
      </c>
      <c r="F26" s="32">
        <f>+D26*E26</f>
        <v>17280000</v>
      </c>
    </row>
    <row r="27" spans="1:9" s="28" customFormat="1" ht="40.5" customHeight="1">
      <c r="A27" s="29" t="s">
        <v>63</v>
      </c>
      <c r="B27" s="30" t="s">
        <v>25</v>
      </c>
      <c r="C27" s="29" t="s">
        <v>26</v>
      </c>
      <c r="D27" s="31">
        <f>+D25*14.2</f>
        <v>227.2</v>
      </c>
      <c r="E27" s="32">
        <v>25000</v>
      </c>
      <c r="F27" s="32">
        <f>+D27*E27</f>
        <v>5680000</v>
      </c>
    </row>
    <row r="28" spans="1:9" s="28" customFormat="1" ht="28.5" customHeight="1">
      <c r="A28" s="161" t="s">
        <v>27</v>
      </c>
      <c r="B28" s="162"/>
      <c r="C28" s="162"/>
      <c r="D28" s="162"/>
      <c r="E28" s="163"/>
      <c r="F28" s="35">
        <f>SUM(F25:F27)</f>
        <v>32560000</v>
      </c>
    </row>
    <row r="29" spans="1:9" s="28" customFormat="1" ht="15">
      <c r="A29" s="25">
        <v>5</v>
      </c>
      <c r="B29" s="43" t="s">
        <v>32</v>
      </c>
      <c r="C29" s="43"/>
      <c r="D29" s="14"/>
      <c r="E29" s="27"/>
      <c r="F29" s="27"/>
    </row>
    <row r="30" spans="1:9" s="28" customFormat="1" ht="28.5">
      <c r="A30" s="44" t="s">
        <v>33</v>
      </c>
      <c r="B30" s="63" t="s">
        <v>34</v>
      </c>
      <c r="C30" s="45" t="s">
        <v>30</v>
      </c>
      <c r="D30" s="34">
        <f>142.96*1.2</f>
        <v>171.55199999999999</v>
      </c>
      <c r="E30" s="46">
        <v>43513.586869821607</v>
      </c>
      <c r="F30" s="32">
        <f>+D30*E30</f>
        <v>7464842.8546916358</v>
      </c>
    </row>
    <row r="31" spans="1:9" s="28" customFormat="1" ht="42.75">
      <c r="A31" s="44" t="s">
        <v>35</v>
      </c>
      <c r="B31" s="63" t="s">
        <v>39</v>
      </c>
      <c r="C31" s="45" t="s">
        <v>30</v>
      </c>
      <c r="D31" s="34">
        <f>+D30</f>
        <v>171.55199999999999</v>
      </c>
      <c r="E31" s="46">
        <v>28451.19141488336</v>
      </c>
      <c r="F31" s="32">
        <f>+D31*E31</f>
        <v>4880858.7896060701</v>
      </c>
    </row>
    <row r="32" spans="1:9" customFormat="1" ht="34.5" customHeight="1">
      <c r="A32" s="44" t="s">
        <v>37</v>
      </c>
      <c r="B32" s="105" t="s">
        <v>77</v>
      </c>
      <c r="C32" s="69" t="s">
        <v>36</v>
      </c>
      <c r="D32" s="34">
        <f>148.8*1.2</f>
        <v>178.56</v>
      </c>
      <c r="E32" s="70">
        <v>38492.788384842192</v>
      </c>
      <c r="F32" s="71">
        <f>+D32*E32</f>
        <v>6873272.2939974219</v>
      </c>
    </row>
    <row r="33" spans="1:18" s="28" customFormat="1" ht="30" customHeight="1">
      <c r="A33" s="44" t="s">
        <v>38</v>
      </c>
      <c r="B33" s="63" t="s">
        <v>75</v>
      </c>
      <c r="C33" s="45" t="s">
        <v>36</v>
      </c>
      <c r="D33" s="34">
        <v>16</v>
      </c>
      <c r="E33" s="91">
        <v>87863.973487139781</v>
      </c>
      <c r="F33" s="71">
        <f>+D33*E33</f>
        <v>1405823.5757942365</v>
      </c>
      <c r="G33" s="90"/>
      <c r="J33" s="89"/>
    </row>
    <row r="34" spans="1:18" s="28" customFormat="1" ht="21" customHeight="1">
      <c r="A34" s="161" t="s">
        <v>40</v>
      </c>
      <c r="B34" s="162"/>
      <c r="C34" s="162"/>
      <c r="D34" s="162"/>
      <c r="E34" s="163"/>
      <c r="F34" s="35">
        <f>SUM(F30:F33)</f>
        <v>20624797.514089361</v>
      </c>
    </row>
    <row r="35" spans="1:18" ht="20.25" customHeight="1">
      <c r="A35" s="12">
        <v>6</v>
      </c>
      <c r="B35" s="36" t="s">
        <v>28</v>
      </c>
      <c r="C35" s="36"/>
      <c r="D35" s="37"/>
      <c r="E35" s="38"/>
      <c r="F35" s="16"/>
    </row>
    <row r="36" spans="1:18" ht="28.5">
      <c r="A36" s="39" t="s">
        <v>55</v>
      </c>
      <c r="B36" s="61" t="s">
        <v>187</v>
      </c>
      <c r="C36" s="40" t="s">
        <v>30</v>
      </c>
      <c r="D36" s="41">
        <f>D37*0.25+100</f>
        <v>191.1875</v>
      </c>
      <c r="E36" s="42">
        <v>50000</v>
      </c>
      <c r="F36" s="20">
        <f>+D36*E36</f>
        <v>9559375</v>
      </c>
    </row>
    <row r="37" spans="1:18" ht="42.75">
      <c r="A37" s="39" t="s">
        <v>56</v>
      </c>
      <c r="B37" s="62" t="s">
        <v>29</v>
      </c>
      <c r="C37" s="40" t="s">
        <v>30</v>
      </c>
      <c r="D37" s="41">
        <v>364.75</v>
      </c>
      <c r="E37" s="42">
        <v>25000</v>
      </c>
      <c r="F37" s="20">
        <f>+D37*E37</f>
        <v>9118750</v>
      </c>
    </row>
    <row r="38" spans="1:18" ht="42.75">
      <c r="A38" s="121">
        <v>6.3</v>
      </c>
      <c r="B38" s="123" t="s">
        <v>185</v>
      </c>
      <c r="C38" s="124" t="s">
        <v>30</v>
      </c>
      <c r="D38" s="125">
        <f>D43*0.3</f>
        <v>95.655000000000001</v>
      </c>
      <c r="E38" s="126">
        <v>10000</v>
      </c>
      <c r="F38" s="122">
        <f>D38*E38</f>
        <v>956550</v>
      </c>
    </row>
    <row r="39" spans="1:18" ht="21" customHeight="1">
      <c r="A39" s="21"/>
      <c r="B39" s="167" t="s">
        <v>31</v>
      </c>
      <c r="C39" s="167"/>
      <c r="D39" s="167"/>
      <c r="E39" s="168"/>
      <c r="F39" s="24">
        <f>SUM(F36:F38)</f>
        <v>19634675</v>
      </c>
    </row>
    <row r="40" spans="1:18" ht="19.5" customHeight="1">
      <c r="A40" s="12">
        <v>7</v>
      </c>
      <c r="B40" s="36" t="s">
        <v>41</v>
      </c>
      <c r="C40" s="36"/>
      <c r="D40" s="37"/>
      <c r="E40" s="38"/>
      <c r="F40" s="16"/>
    </row>
    <row r="41" spans="1:18" ht="19.5" customHeight="1">
      <c r="A41" s="39" t="s">
        <v>59</v>
      </c>
      <c r="B41" s="61" t="s">
        <v>158</v>
      </c>
      <c r="C41" s="40" t="s">
        <v>30</v>
      </c>
      <c r="D41" s="41">
        <f>D42</f>
        <v>348.5625</v>
      </c>
      <c r="E41" s="47">
        <v>9000</v>
      </c>
      <c r="F41" s="20">
        <f>+D41*E41</f>
        <v>3137062.5</v>
      </c>
    </row>
    <row r="42" spans="1:18" ht="26.25" customHeight="1">
      <c r="A42" s="39" t="s">
        <v>60</v>
      </c>
      <c r="B42" s="61" t="s">
        <v>43</v>
      </c>
      <c r="C42" s="40" t="s">
        <v>30</v>
      </c>
      <c r="D42" s="41">
        <v>348.5625</v>
      </c>
      <c r="E42" s="47">
        <v>8000</v>
      </c>
      <c r="F42" s="20">
        <f>+D42*E42</f>
        <v>2788500</v>
      </c>
      <c r="I42" s="48"/>
    </row>
    <row r="43" spans="1:18" ht="27.75" customHeight="1">
      <c r="A43" s="39" t="s">
        <v>80</v>
      </c>
      <c r="B43" s="61" t="s">
        <v>44</v>
      </c>
      <c r="C43" s="40" t="s">
        <v>30</v>
      </c>
      <c r="D43" s="41">
        <v>318.85000000000002</v>
      </c>
      <c r="E43" s="47">
        <v>8000</v>
      </c>
      <c r="F43" s="20">
        <f>+D43*E43</f>
        <v>2550800</v>
      </c>
    </row>
    <row r="44" spans="1:18" ht="27.75" customHeight="1">
      <c r="A44" s="39">
        <v>7.5</v>
      </c>
      <c r="B44" s="61" t="s">
        <v>157</v>
      </c>
      <c r="C44" s="40" t="s">
        <v>30</v>
      </c>
      <c r="D44" s="41">
        <f>D22</f>
        <v>182.5</v>
      </c>
      <c r="E44" s="47">
        <v>15000</v>
      </c>
      <c r="F44" s="20">
        <f>D44*E44</f>
        <v>2737500</v>
      </c>
    </row>
    <row r="45" spans="1:18" ht="36" customHeight="1">
      <c r="A45" s="39" t="s">
        <v>81</v>
      </c>
      <c r="B45" s="61" t="s">
        <v>127</v>
      </c>
      <c r="C45" s="40" t="s">
        <v>30</v>
      </c>
      <c r="D45" s="41">
        <v>32.200000000000003</v>
      </c>
      <c r="E45" s="42">
        <v>15000</v>
      </c>
      <c r="F45" s="20">
        <f>+D45*E45</f>
        <v>483000.00000000006</v>
      </c>
    </row>
    <row r="46" spans="1:18" s="28" customFormat="1" ht="18" customHeight="1">
      <c r="A46" s="169" t="s">
        <v>45</v>
      </c>
      <c r="B46" s="170"/>
      <c r="C46" s="170"/>
      <c r="D46" s="170"/>
      <c r="E46" s="171"/>
      <c r="F46" s="35">
        <f>SUM(F41:F45)</f>
        <v>11696862.5</v>
      </c>
    </row>
    <row r="47" spans="1:18" ht="17.25" customHeight="1">
      <c r="A47" s="12">
        <v>8</v>
      </c>
      <c r="B47" s="36" t="s">
        <v>46</v>
      </c>
      <c r="C47" s="36"/>
      <c r="D47" s="37"/>
      <c r="E47" s="38"/>
      <c r="F47" s="16"/>
    </row>
    <row r="48" spans="1:18" s="53" customFormat="1" ht="22.5" customHeight="1">
      <c r="A48" s="49" t="s">
        <v>82</v>
      </c>
      <c r="B48" s="64" t="s">
        <v>183</v>
      </c>
      <c r="C48" s="50" t="s">
        <v>49</v>
      </c>
      <c r="D48" s="51">
        <v>5</v>
      </c>
      <c r="E48" s="52">
        <v>900000</v>
      </c>
      <c r="F48" s="59">
        <f>SUM(D48*E48)</f>
        <v>4500000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0"/>
    </row>
    <row r="49" spans="1:18" s="53" customFormat="1" ht="23.25" customHeight="1">
      <c r="A49" s="49" t="s">
        <v>83</v>
      </c>
      <c r="B49" s="64" t="s">
        <v>151</v>
      </c>
      <c r="C49" s="50" t="s">
        <v>49</v>
      </c>
      <c r="D49" s="51">
        <v>7</v>
      </c>
      <c r="E49" s="52">
        <v>850000</v>
      </c>
      <c r="F49" s="59">
        <f>SUM(D49*E49)</f>
        <v>5950000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60"/>
    </row>
    <row r="50" spans="1:18" s="28" customFormat="1" ht="32.25" customHeight="1">
      <c r="A50" s="132">
        <v>8.3000000000000007</v>
      </c>
      <c r="B50" s="133" t="s">
        <v>167</v>
      </c>
      <c r="C50" s="134" t="s">
        <v>36</v>
      </c>
      <c r="D50" s="135">
        <v>27</v>
      </c>
      <c r="E50" s="136">
        <v>200000</v>
      </c>
      <c r="F50" s="122">
        <f>D50*E50</f>
        <v>5400000</v>
      </c>
    </row>
    <row r="51" spans="1:18" s="28" customFormat="1" ht="15.75" customHeight="1">
      <c r="A51" s="161" t="s">
        <v>47</v>
      </c>
      <c r="B51" s="162"/>
      <c r="C51" s="162"/>
      <c r="D51" s="162"/>
      <c r="E51" s="163"/>
      <c r="F51" s="68">
        <f>SUM(F48:F50)</f>
        <v>15850000</v>
      </c>
    </row>
    <row r="52" spans="1:18" s="28" customFormat="1" ht="20.25" customHeight="1">
      <c r="A52" s="25">
        <v>9</v>
      </c>
      <c r="B52" s="43" t="s">
        <v>92</v>
      </c>
      <c r="C52" s="43"/>
      <c r="D52" s="14"/>
      <c r="E52" s="27"/>
      <c r="F52" s="27"/>
    </row>
    <row r="53" spans="1:18" s="28" customFormat="1" ht="24" customHeight="1">
      <c r="A53" s="44" t="s">
        <v>97</v>
      </c>
      <c r="B53" s="63" t="s">
        <v>147</v>
      </c>
      <c r="C53" s="45" t="s">
        <v>2</v>
      </c>
      <c r="D53" s="97">
        <v>1</v>
      </c>
      <c r="E53" s="93">
        <v>800000</v>
      </c>
      <c r="F53" s="32">
        <f t="shared" ref="F53:F56" si="1">+D53*E53</f>
        <v>800000</v>
      </c>
    </row>
    <row r="54" spans="1:18" s="28" customFormat="1" ht="24" customHeight="1">
      <c r="A54" s="44" t="s">
        <v>98</v>
      </c>
      <c r="B54" s="63" t="s">
        <v>93</v>
      </c>
      <c r="C54" s="45" t="s">
        <v>2</v>
      </c>
      <c r="D54" s="97">
        <v>6</v>
      </c>
      <c r="E54" s="93">
        <v>150000</v>
      </c>
      <c r="F54" s="32">
        <f t="shared" si="1"/>
        <v>900000</v>
      </c>
    </row>
    <row r="55" spans="1:18" s="28" customFormat="1" ht="25.5" customHeight="1">
      <c r="A55" s="44" t="s">
        <v>99</v>
      </c>
      <c r="B55" s="63" t="s">
        <v>154</v>
      </c>
      <c r="C55" s="45" t="s">
        <v>2</v>
      </c>
      <c r="D55" s="97">
        <v>5</v>
      </c>
      <c r="E55" s="93">
        <v>20000</v>
      </c>
      <c r="F55" s="32">
        <f t="shared" si="1"/>
        <v>100000</v>
      </c>
    </row>
    <row r="56" spans="1:18" s="28" customFormat="1" ht="20.25" customHeight="1">
      <c r="A56" s="44" t="s">
        <v>100</v>
      </c>
      <c r="B56" s="63" t="s">
        <v>95</v>
      </c>
      <c r="C56" s="45" t="s">
        <v>2</v>
      </c>
      <c r="D56" s="97">
        <v>12</v>
      </c>
      <c r="E56" s="93">
        <v>30000</v>
      </c>
      <c r="F56" s="32">
        <f t="shared" si="1"/>
        <v>360000</v>
      </c>
    </row>
    <row r="57" spans="1:18" s="28" customFormat="1" ht="20.25" customHeight="1">
      <c r="A57" s="44" t="s">
        <v>105</v>
      </c>
      <c r="B57" s="63" t="s">
        <v>119</v>
      </c>
      <c r="C57" s="100" t="s">
        <v>36</v>
      </c>
      <c r="D57" s="97">
        <v>205</v>
      </c>
      <c r="E57" s="93">
        <v>7000</v>
      </c>
      <c r="F57" s="32">
        <f t="shared" ref="F57:F60" si="2">+E57*D57</f>
        <v>1435000</v>
      </c>
    </row>
    <row r="58" spans="1:18" s="28" customFormat="1" ht="20.25" customHeight="1">
      <c r="A58" s="44" t="s">
        <v>107</v>
      </c>
      <c r="B58" s="63" t="s">
        <v>106</v>
      </c>
      <c r="C58" s="100" t="s">
        <v>36</v>
      </c>
      <c r="D58" s="115">
        <v>230</v>
      </c>
      <c r="E58" s="116">
        <v>6000</v>
      </c>
      <c r="F58" s="32">
        <f t="shared" si="2"/>
        <v>1380000</v>
      </c>
    </row>
    <row r="59" spans="1:18" s="28" customFormat="1" ht="20.25" customHeight="1">
      <c r="A59" s="44" t="s">
        <v>109</v>
      </c>
      <c r="B59" s="113" t="s">
        <v>108</v>
      </c>
      <c r="C59" s="100" t="s">
        <v>36</v>
      </c>
      <c r="D59" s="119">
        <f>D57+D58</f>
        <v>435</v>
      </c>
      <c r="E59" s="117">
        <v>3000</v>
      </c>
      <c r="F59" s="32">
        <f t="shared" si="2"/>
        <v>1305000</v>
      </c>
    </row>
    <row r="60" spans="1:18" s="28" customFormat="1" ht="21" customHeight="1">
      <c r="A60" s="44" t="s">
        <v>153</v>
      </c>
      <c r="B60" s="112" t="s">
        <v>152</v>
      </c>
      <c r="C60" s="114" t="s">
        <v>49</v>
      </c>
      <c r="D60" s="120">
        <v>6</v>
      </c>
      <c r="E60" s="118">
        <v>130000</v>
      </c>
      <c r="F60" s="32">
        <f t="shared" si="2"/>
        <v>780000</v>
      </c>
    </row>
    <row r="61" spans="1:18" ht="24.75" customHeight="1">
      <c r="A61" s="161" t="s">
        <v>96</v>
      </c>
      <c r="B61" s="162"/>
      <c r="C61" s="176"/>
      <c r="D61" s="176"/>
      <c r="E61" s="177"/>
      <c r="F61" s="139">
        <f>SUM(F52:F60)</f>
        <v>7060000</v>
      </c>
    </row>
    <row r="62" spans="1:18" ht="15">
      <c r="A62" s="140">
        <v>10</v>
      </c>
      <c r="B62" s="172" t="s">
        <v>169</v>
      </c>
      <c r="C62" s="172"/>
      <c r="D62" s="172"/>
      <c r="E62" s="173"/>
      <c r="F62" s="141"/>
    </row>
    <row r="63" spans="1:18" ht="28.15" customHeight="1">
      <c r="A63" s="142" t="s">
        <v>101</v>
      </c>
      <c r="B63" s="144" t="s">
        <v>170</v>
      </c>
      <c r="C63" s="143" t="s">
        <v>49</v>
      </c>
      <c r="D63" s="143">
        <v>1</v>
      </c>
      <c r="E63" s="145">
        <v>500000</v>
      </c>
      <c r="F63" s="46">
        <f t="shared" ref="F63:F68" si="3">D63*E63</f>
        <v>500000</v>
      </c>
    </row>
    <row r="64" spans="1:18">
      <c r="A64" s="142" t="s">
        <v>177</v>
      </c>
      <c r="B64" s="144" t="s">
        <v>171</v>
      </c>
      <c r="C64" s="143" t="s">
        <v>49</v>
      </c>
      <c r="D64" s="143">
        <v>1</v>
      </c>
      <c r="E64" s="145">
        <v>750000</v>
      </c>
      <c r="F64" s="46">
        <f t="shared" si="3"/>
        <v>750000</v>
      </c>
    </row>
    <row r="65" spans="1:6">
      <c r="A65" s="142" t="s">
        <v>178</v>
      </c>
      <c r="B65" s="144" t="s">
        <v>172</v>
      </c>
      <c r="C65" s="143" t="s">
        <v>49</v>
      </c>
      <c r="D65" s="143">
        <v>1</v>
      </c>
      <c r="E65" s="145">
        <v>180000</v>
      </c>
      <c r="F65" s="46">
        <f t="shared" si="3"/>
        <v>180000</v>
      </c>
    </row>
    <row r="66" spans="1:6">
      <c r="A66" s="142" t="s">
        <v>179</v>
      </c>
      <c r="B66" s="144" t="s">
        <v>173</v>
      </c>
      <c r="C66" s="143" t="s">
        <v>49</v>
      </c>
      <c r="D66" s="143">
        <v>1</v>
      </c>
      <c r="E66" s="145">
        <v>900000</v>
      </c>
      <c r="F66" s="46">
        <f t="shared" si="3"/>
        <v>900000</v>
      </c>
    </row>
    <row r="67" spans="1:6">
      <c r="A67" s="142" t="s">
        <v>180</v>
      </c>
      <c r="B67" s="144" t="s">
        <v>174</v>
      </c>
      <c r="C67" s="143" t="s">
        <v>182</v>
      </c>
      <c r="D67" s="143">
        <v>1</v>
      </c>
      <c r="E67" s="145">
        <v>1700000</v>
      </c>
      <c r="F67" s="46">
        <f t="shared" si="3"/>
        <v>1700000</v>
      </c>
    </row>
    <row r="68" spans="1:6">
      <c r="A68" s="142" t="s">
        <v>181</v>
      </c>
      <c r="B68" s="144" t="s">
        <v>175</v>
      </c>
      <c r="C68" s="143" t="s">
        <v>64</v>
      </c>
      <c r="D68" s="143">
        <v>1</v>
      </c>
      <c r="E68" s="145">
        <v>1350000</v>
      </c>
      <c r="F68" s="46">
        <f t="shared" si="3"/>
        <v>1350000</v>
      </c>
    </row>
    <row r="69" spans="1:6" ht="15">
      <c r="A69" s="174"/>
      <c r="B69" s="174"/>
      <c r="C69" s="174"/>
      <c r="D69" s="174"/>
      <c r="E69" s="175"/>
      <c r="F69" s="138">
        <f>SUM(F63:F68)</f>
        <v>5380000</v>
      </c>
    </row>
    <row r="70" spans="1:6" ht="15">
      <c r="A70" s="154"/>
      <c r="B70" s="155"/>
      <c r="C70" s="164" t="s">
        <v>120</v>
      </c>
      <c r="D70" s="165"/>
      <c r="E70" s="166"/>
      <c r="F70" s="111">
        <f>SUM(F51+F23+F8+F34+F28+F46+F61+F39+F13+F69)</f>
        <v>151512407.74136207</v>
      </c>
    </row>
    <row r="71" spans="1:6" ht="15">
      <c r="A71" s="54"/>
      <c r="B71" s="65"/>
      <c r="C71" s="55"/>
      <c r="D71" s="98"/>
      <c r="E71" s="55"/>
      <c r="F71" s="56"/>
    </row>
    <row r="72" spans="1:6" ht="15">
      <c r="A72" s="54"/>
      <c r="B72" s="160"/>
      <c r="C72" s="160"/>
      <c r="D72" s="160"/>
      <c r="E72" s="160"/>
      <c r="F72" s="56"/>
    </row>
    <row r="73" spans="1:6" ht="17.25">
      <c r="A73" s="150" t="s">
        <v>159</v>
      </c>
      <c r="B73" s="151"/>
      <c r="C73" s="151"/>
    </row>
    <row r="74" spans="1:6">
      <c r="A74" s="127" t="s">
        <v>0</v>
      </c>
      <c r="B74" s="128" t="s">
        <v>160</v>
      </c>
      <c r="C74" s="127" t="s">
        <v>71</v>
      </c>
      <c r="D74" s="99"/>
      <c r="E74" s="57"/>
      <c r="F74" s="58" t="s">
        <v>48</v>
      </c>
    </row>
    <row r="75" spans="1:6">
      <c r="A75" s="129">
        <v>1</v>
      </c>
      <c r="B75" s="129" t="s">
        <v>6</v>
      </c>
      <c r="C75" s="130">
        <f>F8</f>
        <v>11000000</v>
      </c>
    </row>
    <row r="76" spans="1:6">
      <c r="A76" s="129">
        <v>2</v>
      </c>
      <c r="B76" s="129" t="s">
        <v>87</v>
      </c>
      <c r="C76" s="130">
        <f>F13</f>
        <v>1196272.7272727273</v>
      </c>
    </row>
    <row r="77" spans="1:6">
      <c r="A77" s="129">
        <v>3</v>
      </c>
      <c r="B77" s="129" t="s">
        <v>161</v>
      </c>
      <c r="C77" s="130">
        <f>F23</f>
        <v>26509800</v>
      </c>
    </row>
    <row r="78" spans="1:6">
      <c r="A78" s="129">
        <v>4</v>
      </c>
      <c r="B78" s="129" t="s">
        <v>162</v>
      </c>
      <c r="C78" s="130">
        <f>F28</f>
        <v>32560000</v>
      </c>
    </row>
    <row r="79" spans="1:6">
      <c r="A79" s="129">
        <v>5</v>
      </c>
      <c r="B79" s="129" t="s">
        <v>163</v>
      </c>
      <c r="C79" s="130">
        <f>F34</f>
        <v>20624797.514089361</v>
      </c>
    </row>
    <row r="80" spans="1:6">
      <c r="A80" s="129">
        <v>6</v>
      </c>
      <c r="B80" s="129" t="s">
        <v>164</v>
      </c>
      <c r="C80" s="130">
        <f>F39</f>
        <v>19634675</v>
      </c>
    </row>
    <row r="81" spans="1:3">
      <c r="A81" s="129">
        <v>7</v>
      </c>
      <c r="B81" s="129" t="s">
        <v>41</v>
      </c>
      <c r="C81" s="130">
        <f>F46</f>
        <v>11696862.5</v>
      </c>
    </row>
    <row r="82" spans="1:3">
      <c r="A82" s="129">
        <v>8</v>
      </c>
      <c r="B82" s="129" t="s">
        <v>165</v>
      </c>
      <c r="C82" s="130">
        <f>F51</f>
        <v>15850000</v>
      </c>
    </row>
    <row r="83" spans="1:3">
      <c r="A83" s="129">
        <v>9</v>
      </c>
      <c r="B83" s="129" t="s">
        <v>92</v>
      </c>
      <c r="C83" s="130">
        <f>F61</f>
        <v>7060000</v>
      </c>
    </row>
    <row r="84" spans="1:3">
      <c r="A84" s="129">
        <v>10</v>
      </c>
      <c r="B84" s="129" t="s">
        <v>176</v>
      </c>
      <c r="C84" s="130">
        <f>F69</f>
        <v>5380000</v>
      </c>
    </row>
    <row r="85" spans="1:3" ht="15">
      <c r="A85" s="152" t="s">
        <v>166</v>
      </c>
      <c r="B85" s="153"/>
      <c r="C85" s="131">
        <f>SUM(C75:C84)</f>
        <v>151512407.74136209</v>
      </c>
    </row>
    <row r="87" spans="1:3" ht="15">
      <c r="A87" s="148" t="s">
        <v>191</v>
      </c>
    </row>
  </sheetData>
  <mergeCells count="18">
    <mergeCell ref="A28:E28"/>
    <mergeCell ref="B2:F2"/>
    <mergeCell ref="B3:F3"/>
    <mergeCell ref="B8:E8"/>
    <mergeCell ref="A13:E13"/>
    <mergeCell ref="B23:E23"/>
    <mergeCell ref="A34:E34"/>
    <mergeCell ref="B39:E39"/>
    <mergeCell ref="A46:E46"/>
    <mergeCell ref="A51:E51"/>
    <mergeCell ref="A61:E61"/>
    <mergeCell ref="A73:C73"/>
    <mergeCell ref="A85:B85"/>
    <mergeCell ref="B62:E62"/>
    <mergeCell ref="A69:E69"/>
    <mergeCell ref="B72:E72"/>
    <mergeCell ref="A70:B70"/>
    <mergeCell ref="C70:E70"/>
  </mergeCells>
  <phoneticPr fontId="27" type="noConversion"/>
  <printOptions horizontalCentered="1"/>
  <pageMargins left="0.25" right="0.25" top="0.75" bottom="0.75" header="0.3" footer="0.3"/>
  <pageSetup paperSize="9" scale="31" fitToHeight="0" orientation="portrait" r:id="rId1"/>
  <headerFooter>
    <oddFooter>Page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8"/>
  <sheetViews>
    <sheetView topLeftCell="A41" zoomScale="86" zoomScaleNormal="86" workbookViewId="0">
      <selection activeCell="E54" sqref="E54"/>
    </sheetView>
  </sheetViews>
  <sheetFormatPr baseColWidth="10" defaultColWidth="9.28515625" defaultRowHeight="14.25"/>
  <cols>
    <col min="1" max="1" width="6.7109375" style="1" customWidth="1"/>
    <col min="2" max="2" width="88.7109375" style="1" customWidth="1"/>
    <col min="3" max="3" width="15.140625" style="3" customWidth="1"/>
    <col min="4" max="4" width="24.28515625" style="3" customWidth="1"/>
    <col min="5" max="5" width="20" style="2" customWidth="1"/>
    <col min="6" max="6" width="35.7109375" style="4" customWidth="1"/>
    <col min="7" max="7" width="12" style="5" customWidth="1"/>
    <col min="8" max="8" width="9.28515625" style="5" customWidth="1"/>
    <col min="9" max="9" width="23.7109375" style="5" customWidth="1"/>
    <col min="10" max="10" width="9.28515625" style="5" customWidth="1"/>
    <col min="11" max="11" width="12.42578125" style="5" customWidth="1"/>
    <col min="12" max="16384" width="9.28515625" style="5"/>
  </cols>
  <sheetData>
    <row r="1" spans="1:8" ht="75" customHeight="1"/>
    <row r="2" spans="1:8" ht="44.25" customHeight="1">
      <c r="A2" s="6"/>
      <c r="B2" s="158" t="s">
        <v>123</v>
      </c>
      <c r="C2" s="158"/>
      <c r="D2" s="158"/>
      <c r="E2" s="158"/>
      <c r="F2" s="159"/>
    </row>
    <row r="3" spans="1:8" ht="30.75" customHeight="1">
      <c r="A3" s="6"/>
      <c r="B3" s="158" t="s">
        <v>124</v>
      </c>
      <c r="C3" s="158"/>
      <c r="D3" s="158"/>
      <c r="E3" s="158"/>
      <c r="F3" s="159"/>
    </row>
    <row r="4" spans="1:8" s="11" customFormat="1" ht="27.75" customHeight="1">
      <c r="A4" s="7" t="s">
        <v>0</v>
      </c>
      <c r="B4" s="8" t="s">
        <v>1</v>
      </c>
      <c r="C4" s="7" t="s">
        <v>2</v>
      </c>
      <c r="D4" s="9" t="s">
        <v>3</v>
      </c>
      <c r="E4" s="9" t="s">
        <v>4</v>
      </c>
      <c r="F4" s="10" t="s">
        <v>5</v>
      </c>
    </row>
    <row r="5" spans="1:8" ht="27.75" customHeight="1">
      <c r="A5" s="12">
        <v>1</v>
      </c>
      <c r="B5" s="12" t="s">
        <v>6</v>
      </c>
      <c r="C5" s="13"/>
      <c r="D5" s="14"/>
      <c r="E5" s="15"/>
      <c r="F5" s="16"/>
    </row>
    <row r="6" spans="1:8" ht="27.75" customHeight="1">
      <c r="A6" s="17" t="s">
        <v>7</v>
      </c>
      <c r="B6" s="18" t="s">
        <v>8</v>
      </c>
      <c r="C6" s="17" t="s">
        <v>9</v>
      </c>
      <c r="D6" s="19">
        <v>0</v>
      </c>
      <c r="E6" s="72">
        <v>6000000</v>
      </c>
      <c r="F6" s="20">
        <f>+D6*E6</f>
        <v>0</v>
      </c>
    </row>
    <row r="7" spans="1:8" ht="27.75" customHeight="1">
      <c r="A7" s="17" t="s">
        <v>10</v>
      </c>
      <c r="B7" s="18" t="s">
        <v>11</v>
      </c>
      <c r="C7" s="17" t="s">
        <v>9</v>
      </c>
      <c r="D7" s="19">
        <v>0</v>
      </c>
      <c r="E7" s="72">
        <v>7000000</v>
      </c>
      <c r="F7" s="20">
        <f>+D7*E7</f>
        <v>0</v>
      </c>
    </row>
    <row r="8" spans="1:8" ht="27.75" customHeight="1">
      <c r="A8" s="21"/>
      <c r="B8" s="156" t="s">
        <v>12</v>
      </c>
      <c r="C8" s="156"/>
      <c r="D8" s="156"/>
      <c r="E8" s="157"/>
      <c r="F8" s="67">
        <f>SUM(F6:F7)</f>
        <v>0</v>
      </c>
    </row>
    <row r="9" spans="1:8" s="28" customFormat="1" ht="27" customHeight="1">
      <c r="A9" s="25">
        <v>2</v>
      </c>
      <c r="B9" s="25" t="s">
        <v>87</v>
      </c>
      <c r="C9" s="26"/>
      <c r="D9" s="14"/>
      <c r="E9" s="27"/>
      <c r="F9" s="27"/>
    </row>
    <row r="10" spans="1:8" customFormat="1" ht="38.450000000000003" customHeight="1">
      <c r="A10" s="29" t="s">
        <v>50</v>
      </c>
      <c r="B10" s="30" t="s">
        <v>117</v>
      </c>
      <c r="C10" s="106" t="s">
        <v>64</v>
      </c>
      <c r="D10" s="96">
        <v>1</v>
      </c>
      <c r="E10" s="32">
        <v>200000</v>
      </c>
      <c r="F10" s="32">
        <f>+D10*E10</f>
        <v>200000</v>
      </c>
      <c r="H10" s="103"/>
    </row>
    <row r="11" spans="1:8" s="28" customFormat="1" ht="42" customHeight="1">
      <c r="A11" s="29" t="s">
        <v>51</v>
      </c>
      <c r="B11" s="30" t="s">
        <v>121</v>
      </c>
      <c r="C11" s="29" t="s">
        <v>20</v>
      </c>
      <c r="D11" s="96">
        <v>16</v>
      </c>
      <c r="E11" s="32">
        <v>24000</v>
      </c>
      <c r="F11" s="32">
        <f>+D11*E11</f>
        <v>384000</v>
      </c>
    </row>
    <row r="12" spans="1:8" s="28" customFormat="1" ht="40.5" customHeight="1">
      <c r="A12" s="29" t="s">
        <v>52</v>
      </c>
      <c r="B12" s="101" t="s">
        <v>116</v>
      </c>
      <c r="C12" s="29" t="s">
        <v>20</v>
      </c>
      <c r="D12" s="96">
        <f>D11/2.2</f>
        <v>7.2727272727272725</v>
      </c>
      <c r="E12" s="32">
        <v>30000</v>
      </c>
      <c r="F12" s="32">
        <f>+D12*E12</f>
        <v>218181.81818181818</v>
      </c>
    </row>
    <row r="13" spans="1:8" s="28" customFormat="1" ht="27" customHeight="1">
      <c r="A13" s="161" t="s">
        <v>88</v>
      </c>
      <c r="B13" s="162"/>
      <c r="C13" s="162"/>
      <c r="D13" s="162"/>
      <c r="E13" s="163"/>
      <c r="F13" s="95">
        <f>SUM(F10:F12)</f>
        <v>802181.81818181812</v>
      </c>
    </row>
    <row r="14" spans="1:8" ht="27.75" customHeight="1">
      <c r="A14" s="12">
        <v>3</v>
      </c>
      <c r="B14" s="12" t="s">
        <v>13</v>
      </c>
      <c r="C14" s="13"/>
      <c r="D14" s="14"/>
      <c r="E14" s="15"/>
      <c r="F14" s="16"/>
    </row>
    <row r="15" spans="1:8" s="28" customFormat="1" ht="46.5" customHeight="1">
      <c r="A15" s="29" t="s">
        <v>18</v>
      </c>
      <c r="B15" s="30" t="s">
        <v>65</v>
      </c>
      <c r="C15" s="29" t="s">
        <v>20</v>
      </c>
      <c r="D15" s="31">
        <v>2.72</v>
      </c>
      <c r="E15" s="32">
        <v>300000</v>
      </c>
      <c r="F15" s="32">
        <f>E15*D15</f>
        <v>816000.00000000012</v>
      </c>
    </row>
    <row r="16" spans="1:8" s="28" customFormat="1" ht="48.75" customHeight="1">
      <c r="A16" s="29" t="s">
        <v>21</v>
      </c>
      <c r="B16" s="30" t="s">
        <v>122</v>
      </c>
      <c r="C16" s="29" t="s">
        <v>20</v>
      </c>
      <c r="D16" s="31">
        <f>D15*2</f>
        <v>5.44</v>
      </c>
      <c r="E16" s="32">
        <v>380000</v>
      </c>
      <c r="F16" s="32">
        <f t="shared" ref="F16:F22" si="0">+D16*E16</f>
        <v>2067200.0000000002</v>
      </c>
    </row>
    <row r="17" spans="1:9" s="28" customFormat="1" ht="35.25" customHeight="1">
      <c r="A17" s="29" t="s">
        <v>24</v>
      </c>
      <c r="B17" s="30" t="s">
        <v>19</v>
      </c>
      <c r="C17" s="94" t="s">
        <v>85</v>
      </c>
      <c r="D17" s="31">
        <v>1.5</v>
      </c>
      <c r="E17" s="32">
        <v>600000</v>
      </c>
      <c r="F17" s="32">
        <f t="shared" si="0"/>
        <v>900000</v>
      </c>
      <c r="H17" s="33"/>
      <c r="I17" s="33"/>
    </row>
    <row r="18" spans="1:9" s="28" customFormat="1" ht="47.25" customHeight="1">
      <c r="A18" s="29" t="s">
        <v>74</v>
      </c>
      <c r="B18" s="30" t="s">
        <v>22</v>
      </c>
      <c r="C18" s="29" t="s">
        <v>23</v>
      </c>
      <c r="D18" s="31">
        <f>D17*90</f>
        <v>135</v>
      </c>
      <c r="E18" s="32">
        <v>12000</v>
      </c>
      <c r="F18" s="32">
        <f t="shared" si="0"/>
        <v>1620000</v>
      </c>
    </row>
    <row r="19" spans="1:9" s="28" customFormat="1" ht="40.5" customHeight="1">
      <c r="A19" s="29" t="s">
        <v>76</v>
      </c>
      <c r="B19" s="30" t="s">
        <v>25</v>
      </c>
      <c r="C19" s="29" t="s">
        <v>26</v>
      </c>
      <c r="D19" s="31">
        <f>D17*14.2</f>
        <v>21.299999999999997</v>
      </c>
      <c r="E19" s="32">
        <v>25000</v>
      </c>
      <c r="F19" s="32">
        <f t="shared" si="0"/>
        <v>532499.99999999988</v>
      </c>
    </row>
    <row r="20" spans="1:9" s="28" customFormat="1" ht="48.75" customHeight="1">
      <c r="A20" s="29" t="s">
        <v>89</v>
      </c>
      <c r="B20" s="30" t="s">
        <v>54</v>
      </c>
      <c r="C20" s="29" t="s">
        <v>20</v>
      </c>
      <c r="D20" s="31">
        <v>8.15</v>
      </c>
      <c r="E20" s="32">
        <v>110000</v>
      </c>
      <c r="F20" s="32">
        <f t="shared" si="0"/>
        <v>896500</v>
      </c>
    </row>
    <row r="21" spans="1:9" s="28" customFormat="1" ht="33.75" customHeight="1">
      <c r="A21" s="29" t="s">
        <v>90</v>
      </c>
      <c r="B21" s="30" t="s">
        <v>66</v>
      </c>
      <c r="C21" s="29" t="s">
        <v>20</v>
      </c>
      <c r="D21" s="31">
        <v>1.78</v>
      </c>
      <c r="E21" s="72">
        <v>480000</v>
      </c>
      <c r="F21" s="32">
        <f t="shared" si="0"/>
        <v>854400</v>
      </c>
    </row>
    <row r="22" spans="1:9" ht="49.5" customHeight="1">
      <c r="A22" s="29" t="s">
        <v>91</v>
      </c>
      <c r="B22" s="22" t="s">
        <v>14</v>
      </c>
      <c r="C22" s="23" t="s">
        <v>15</v>
      </c>
      <c r="D22" s="31">
        <v>56.88</v>
      </c>
      <c r="E22" s="72">
        <v>25000</v>
      </c>
      <c r="F22" s="20">
        <f t="shared" si="0"/>
        <v>1422000</v>
      </c>
    </row>
    <row r="23" spans="1:9" ht="21" customHeight="1">
      <c r="A23" s="21"/>
      <c r="B23" s="156" t="s">
        <v>16</v>
      </c>
      <c r="C23" s="156"/>
      <c r="D23" s="156"/>
      <c r="E23" s="157"/>
      <c r="F23" s="24">
        <f>SUM(F15:F22)</f>
        <v>9108600</v>
      </c>
    </row>
    <row r="24" spans="1:9" s="28" customFormat="1" ht="30" customHeight="1">
      <c r="A24" s="25">
        <v>4</v>
      </c>
      <c r="B24" s="25" t="s">
        <v>17</v>
      </c>
      <c r="C24" s="26"/>
      <c r="D24" s="14"/>
      <c r="E24" s="27"/>
      <c r="F24" s="27"/>
    </row>
    <row r="25" spans="1:9" s="28" customFormat="1" ht="35.25" customHeight="1">
      <c r="A25" s="29" t="s">
        <v>61</v>
      </c>
      <c r="B25" s="30" t="s">
        <v>19</v>
      </c>
      <c r="C25" s="29" t="s">
        <v>20</v>
      </c>
      <c r="D25" s="31">
        <f>8.92</f>
        <v>8.92</v>
      </c>
      <c r="E25" s="32">
        <v>600000</v>
      </c>
      <c r="F25" s="32">
        <f>+D25*E25</f>
        <v>5352000</v>
      </c>
      <c r="H25" s="33"/>
      <c r="I25" s="33"/>
    </row>
    <row r="26" spans="1:9" s="28" customFormat="1" ht="47.25" customHeight="1">
      <c r="A26" s="29" t="s">
        <v>62</v>
      </c>
      <c r="B26" s="30" t="s">
        <v>22</v>
      </c>
      <c r="C26" s="29" t="s">
        <v>23</v>
      </c>
      <c r="D26" s="31">
        <f>D25*90</f>
        <v>802.8</v>
      </c>
      <c r="E26" s="32">
        <v>12000</v>
      </c>
      <c r="F26" s="32">
        <f>+D26*E26</f>
        <v>9633600</v>
      </c>
    </row>
    <row r="27" spans="1:9" s="28" customFormat="1" ht="40.5" customHeight="1">
      <c r="A27" s="29" t="s">
        <v>63</v>
      </c>
      <c r="B27" s="30" t="s">
        <v>25</v>
      </c>
      <c r="C27" s="29" t="s">
        <v>26</v>
      </c>
      <c r="D27" s="31">
        <f>D25*14.2</f>
        <v>126.66399999999999</v>
      </c>
      <c r="E27" s="32">
        <v>25000</v>
      </c>
      <c r="F27" s="32">
        <f>+D27*E27</f>
        <v>3166599.9999999995</v>
      </c>
    </row>
    <row r="28" spans="1:9" s="28" customFormat="1" ht="28.5" customHeight="1">
      <c r="A28" s="161" t="s">
        <v>27</v>
      </c>
      <c r="B28" s="162"/>
      <c r="C28" s="162"/>
      <c r="D28" s="162"/>
      <c r="E28" s="163"/>
      <c r="F28" s="35">
        <f>SUM(F25:F27)</f>
        <v>18152200</v>
      </c>
    </row>
    <row r="29" spans="1:9" s="28" customFormat="1" ht="15">
      <c r="A29" s="25">
        <v>5</v>
      </c>
      <c r="B29" s="43" t="s">
        <v>32</v>
      </c>
      <c r="C29" s="43"/>
      <c r="D29" s="14"/>
      <c r="E29" s="27"/>
      <c r="F29" s="27"/>
    </row>
    <row r="30" spans="1:9" s="28" customFormat="1" ht="28.5">
      <c r="A30" s="44" t="s">
        <v>33</v>
      </c>
      <c r="B30" s="63" t="s">
        <v>34</v>
      </c>
      <c r="C30" s="45" t="s">
        <v>30</v>
      </c>
      <c r="D30" s="34">
        <v>30.23</v>
      </c>
      <c r="E30" s="46">
        <v>43513.586869821607</v>
      </c>
      <c r="F30" s="32">
        <f>+D30*E30</f>
        <v>1315415.7310747071</v>
      </c>
    </row>
    <row r="31" spans="1:9" s="28" customFormat="1" ht="42.75">
      <c r="A31" s="44" t="s">
        <v>35</v>
      </c>
      <c r="B31" s="63" t="s">
        <v>39</v>
      </c>
      <c r="C31" s="45" t="s">
        <v>30</v>
      </c>
      <c r="D31" s="34">
        <v>30.23</v>
      </c>
      <c r="E31" s="46">
        <v>28451.19141488336</v>
      </c>
      <c r="F31" s="32">
        <f>+D31*E31</f>
        <v>860079.51647192403</v>
      </c>
    </row>
    <row r="32" spans="1:9" customFormat="1" ht="34.5" customHeight="1">
      <c r="A32" s="44" t="s">
        <v>37</v>
      </c>
      <c r="B32" s="105" t="s">
        <v>77</v>
      </c>
      <c r="C32" s="69" t="s">
        <v>36</v>
      </c>
      <c r="D32" s="34">
        <v>38.4</v>
      </c>
      <c r="E32" s="70">
        <v>38492.788384842192</v>
      </c>
      <c r="F32" s="71">
        <f>+D32*E32</f>
        <v>1478123.07397794</v>
      </c>
    </row>
    <row r="33" spans="1:18" s="28" customFormat="1" ht="30" customHeight="1">
      <c r="A33" s="44" t="s">
        <v>38</v>
      </c>
      <c r="B33" s="63" t="s">
        <v>75</v>
      </c>
      <c r="C33" s="45" t="s">
        <v>36</v>
      </c>
      <c r="D33" s="34">
        <v>10.4</v>
      </c>
      <c r="E33" s="91">
        <v>87863.973487139781</v>
      </c>
      <c r="F33" s="71">
        <f>+D33*E33</f>
        <v>913785.32426625374</v>
      </c>
      <c r="G33" s="90"/>
      <c r="J33" s="89"/>
    </row>
    <row r="34" spans="1:18" s="28" customFormat="1" ht="21" customHeight="1">
      <c r="A34" s="161" t="s">
        <v>40</v>
      </c>
      <c r="B34" s="162"/>
      <c r="C34" s="162"/>
      <c r="D34" s="162"/>
      <c r="E34" s="163"/>
      <c r="F34" s="35">
        <f>SUM(F30:F33)</f>
        <v>4567403.6457908247</v>
      </c>
    </row>
    <row r="35" spans="1:18" ht="20.25" customHeight="1">
      <c r="A35" s="12">
        <v>6</v>
      </c>
      <c r="B35" s="36" t="s">
        <v>28</v>
      </c>
      <c r="C35" s="36"/>
      <c r="D35" s="37"/>
      <c r="E35" s="38"/>
      <c r="F35" s="16"/>
    </row>
    <row r="36" spans="1:18" ht="30.75" customHeight="1">
      <c r="A36" s="39" t="s">
        <v>55</v>
      </c>
      <c r="B36" s="61" t="s">
        <v>187</v>
      </c>
      <c r="C36" s="40" t="s">
        <v>30</v>
      </c>
      <c r="D36" s="41">
        <v>22.56</v>
      </c>
      <c r="E36" s="42">
        <v>50000</v>
      </c>
      <c r="F36" s="20">
        <f>+D36*E36</f>
        <v>1128000</v>
      </c>
    </row>
    <row r="37" spans="1:18" ht="42.75">
      <c r="A37" s="39" t="s">
        <v>56</v>
      </c>
      <c r="B37" s="62" t="s">
        <v>29</v>
      </c>
      <c r="C37" s="40" t="s">
        <v>30</v>
      </c>
      <c r="D37" s="41">
        <v>181.63</v>
      </c>
      <c r="E37" s="42">
        <v>25000</v>
      </c>
      <c r="F37" s="20">
        <f>+D37*E37</f>
        <v>4540750</v>
      </c>
    </row>
    <row r="38" spans="1:18" ht="42.75">
      <c r="A38" s="121">
        <v>6.3</v>
      </c>
      <c r="B38" s="123" t="s">
        <v>185</v>
      </c>
      <c r="C38" s="124" t="s">
        <v>30</v>
      </c>
      <c r="D38" s="125">
        <f>D43*0.3</f>
        <v>27.244499999999999</v>
      </c>
      <c r="E38" s="126">
        <v>10000</v>
      </c>
      <c r="F38" s="122">
        <f>D38*E38</f>
        <v>272445</v>
      </c>
    </row>
    <row r="39" spans="1:18" ht="21" customHeight="1">
      <c r="A39" s="21"/>
      <c r="B39" s="167" t="s">
        <v>31</v>
      </c>
      <c r="C39" s="167"/>
      <c r="D39" s="167"/>
      <c r="E39" s="168"/>
      <c r="F39" s="24">
        <f>SUM(F36:F38)</f>
        <v>5941195</v>
      </c>
    </row>
    <row r="40" spans="1:18" ht="19.5" customHeight="1">
      <c r="A40" s="12">
        <v>7</v>
      </c>
      <c r="B40" s="36" t="s">
        <v>41</v>
      </c>
      <c r="C40" s="36"/>
      <c r="D40" s="37"/>
      <c r="E40" s="38"/>
      <c r="F40" s="16"/>
    </row>
    <row r="41" spans="1:18" ht="19.5" customHeight="1">
      <c r="A41" s="39" t="s">
        <v>59</v>
      </c>
      <c r="B41" s="61" t="s">
        <v>42</v>
      </c>
      <c r="C41" s="40" t="s">
        <v>30</v>
      </c>
      <c r="D41" s="41">
        <f>D42</f>
        <v>108.97799999999999</v>
      </c>
      <c r="E41" s="47">
        <v>9000</v>
      </c>
      <c r="F41" s="20">
        <f>+D41*E41</f>
        <v>980802</v>
      </c>
    </row>
    <row r="42" spans="1:18" ht="26.25" customHeight="1">
      <c r="A42" s="39" t="s">
        <v>60</v>
      </c>
      <c r="B42" s="61" t="s">
        <v>43</v>
      </c>
      <c r="C42" s="40" t="s">
        <v>30</v>
      </c>
      <c r="D42" s="41">
        <f>D37*0.6</f>
        <v>108.97799999999999</v>
      </c>
      <c r="E42" s="47">
        <v>8000</v>
      </c>
      <c r="F42" s="20">
        <f>+D42*E42</f>
        <v>871824</v>
      </c>
      <c r="I42" s="48"/>
    </row>
    <row r="43" spans="1:18" ht="27.75" customHeight="1">
      <c r="A43" s="39" t="s">
        <v>80</v>
      </c>
      <c r="B43" s="61" t="s">
        <v>44</v>
      </c>
      <c r="C43" s="40" t="s">
        <v>30</v>
      </c>
      <c r="D43" s="41">
        <f>D37*0.5</f>
        <v>90.814999999999998</v>
      </c>
      <c r="E43" s="47">
        <v>8000</v>
      </c>
      <c r="F43" s="20">
        <f>+D43*E43</f>
        <v>726520</v>
      </c>
    </row>
    <row r="44" spans="1:18" ht="27.75" customHeight="1">
      <c r="A44" s="39">
        <v>7.5</v>
      </c>
      <c r="B44" s="61" t="s">
        <v>157</v>
      </c>
      <c r="C44" s="40" t="s">
        <v>30</v>
      </c>
      <c r="D44" s="41">
        <f>D22</f>
        <v>56.88</v>
      </c>
      <c r="E44" s="47">
        <v>15000</v>
      </c>
      <c r="F44" s="20">
        <f>D44*E44</f>
        <v>853200</v>
      </c>
    </row>
    <row r="45" spans="1:18" ht="36" customHeight="1">
      <c r="A45" s="39" t="s">
        <v>81</v>
      </c>
      <c r="B45" s="61" t="s">
        <v>127</v>
      </c>
      <c r="C45" s="40" t="s">
        <v>30</v>
      </c>
      <c r="D45" s="41">
        <v>24.8</v>
      </c>
      <c r="E45" s="42">
        <v>15000</v>
      </c>
      <c r="F45" s="20">
        <f>+D45*E45</f>
        <v>372000</v>
      </c>
    </row>
    <row r="46" spans="1:18" s="28" customFormat="1" ht="18" customHeight="1">
      <c r="A46" s="169" t="s">
        <v>45</v>
      </c>
      <c r="B46" s="170"/>
      <c r="C46" s="170"/>
      <c r="D46" s="170"/>
      <c r="E46" s="171"/>
      <c r="F46" s="35">
        <f>SUM(F41:F45)</f>
        <v>3804346</v>
      </c>
    </row>
    <row r="47" spans="1:18" ht="17.25" customHeight="1">
      <c r="A47" s="12">
        <v>8</v>
      </c>
      <c r="B47" s="36" t="s">
        <v>46</v>
      </c>
      <c r="C47" s="36"/>
      <c r="D47" s="37"/>
      <c r="E47" s="38"/>
      <c r="F47" s="16"/>
    </row>
    <row r="48" spans="1:18" s="53" customFormat="1" ht="22.5" customHeight="1">
      <c r="A48" s="49" t="s">
        <v>82</v>
      </c>
      <c r="B48" s="64" t="s">
        <v>183</v>
      </c>
      <c r="C48" s="50" t="s">
        <v>49</v>
      </c>
      <c r="D48" s="51">
        <v>2</v>
      </c>
      <c r="E48" s="52">
        <v>900000</v>
      </c>
      <c r="F48" s="59">
        <f>SUM(D48*E48)</f>
        <v>1800000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0"/>
    </row>
    <row r="49" spans="1:18" s="53" customFormat="1" ht="23.25" customHeight="1">
      <c r="A49" s="49" t="s">
        <v>83</v>
      </c>
      <c r="B49" s="64" t="s">
        <v>151</v>
      </c>
      <c r="C49" s="50" t="s">
        <v>49</v>
      </c>
      <c r="D49" s="51">
        <v>4</v>
      </c>
      <c r="E49" s="52">
        <v>850000</v>
      </c>
      <c r="F49" s="59">
        <f>SUM(D49*E49)</f>
        <v>3400000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60"/>
    </row>
    <row r="50" spans="1:18" s="28" customFormat="1" ht="33" customHeight="1">
      <c r="A50" s="132">
        <v>8.3000000000000007</v>
      </c>
      <c r="B50" s="133" t="s">
        <v>167</v>
      </c>
      <c r="C50" s="134" t="s">
        <v>36</v>
      </c>
      <c r="D50" s="135">
        <v>7</v>
      </c>
      <c r="E50" s="136">
        <v>200000</v>
      </c>
      <c r="F50" s="122">
        <f>D50*E50</f>
        <v>1400000</v>
      </c>
    </row>
    <row r="51" spans="1:18" s="28" customFormat="1" ht="15">
      <c r="A51" s="161" t="s">
        <v>47</v>
      </c>
      <c r="B51" s="162"/>
      <c r="C51" s="162"/>
      <c r="D51" s="162"/>
      <c r="E51" s="163"/>
      <c r="F51" s="68">
        <f>SUM(F48:F50)</f>
        <v>6600000</v>
      </c>
    </row>
    <row r="52" spans="1:18" s="28" customFormat="1" ht="20.25" customHeight="1">
      <c r="A52" s="25">
        <v>9</v>
      </c>
      <c r="B52" s="43" t="s">
        <v>92</v>
      </c>
      <c r="C52" s="43"/>
      <c r="D52" s="14"/>
      <c r="E52" s="27"/>
      <c r="F52" s="27"/>
    </row>
    <row r="53" spans="1:18" s="28" customFormat="1" ht="24" customHeight="1">
      <c r="A53" s="44" t="s">
        <v>97</v>
      </c>
      <c r="B53" s="63" t="s">
        <v>147</v>
      </c>
      <c r="C53" s="45" t="s">
        <v>2</v>
      </c>
      <c r="D53" s="97">
        <v>1</v>
      </c>
      <c r="E53" s="93">
        <v>500000</v>
      </c>
      <c r="F53" s="32">
        <f t="shared" ref="F53:F56" si="1">+D53*E53</f>
        <v>500000</v>
      </c>
    </row>
    <row r="54" spans="1:18" s="28" customFormat="1" ht="24" customHeight="1">
      <c r="A54" s="44" t="s">
        <v>98</v>
      </c>
      <c r="B54" s="63" t="s">
        <v>93</v>
      </c>
      <c r="C54" s="45" t="s">
        <v>2</v>
      </c>
      <c r="D54" s="97">
        <v>2</v>
      </c>
      <c r="E54" s="93">
        <v>250000</v>
      </c>
      <c r="F54" s="32">
        <f t="shared" si="1"/>
        <v>500000</v>
      </c>
    </row>
    <row r="55" spans="1:18" s="28" customFormat="1" ht="25.5" customHeight="1">
      <c r="A55" s="44" t="s">
        <v>99</v>
      </c>
      <c r="B55" s="63" t="s">
        <v>154</v>
      </c>
      <c r="C55" s="45" t="s">
        <v>2</v>
      </c>
      <c r="D55" s="97">
        <v>2</v>
      </c>
      <c r="E55" s="93">
        <v>20000</v>
      </c>
      <c r="F55" s="32">
        <f t="shared" si="1"/>
        <v>40000</v>
      </c>
    </row>
    <row r="56" spans="1:18" s="28" customFormat="1" ht="24.75" customHeight="1">
      <c r="A56" s="44" t="s">
        <v>100</v>
      </c>
      <c r="B56" s="63" t="s">
        <v>95</v>
      </c>
      <c r="C56" s="45" t="s">
        <v>2</v>
      </c>
      <c r="D56" s="97">
        <v>4</v>
      </c>
      <c r="E56" s="93">
        <v>30000</v>
      </c>
      <c r="F56" s="32">
        <f t="shared" si="1"/>
        <v>120000</v>
      </c>
    </row>
    <row r="57" spans="1:18" s="28" customFormat="1" ht="23.25" customHeight="1">
      <c r="A57" s="44" t="s">
        <v>105</v>
      </c>
      <c r="B57" s="63" t="s">
        <v>119</v>
      </c>
      <c r="C57" s="100" t="s">
        <v>36</v>
      </c>
      <c r="D57" s="97">
        <v>60</v>
      </c>
      <c r="E57" s="93">
        <f>+'DQE REHAB BAT A'!E57</f>
        <v>7000</v>
      </c>
      <c r="F57" s="32">
        <f t="shared" ref="F57:F60" si="2">+E57*D57</f>
        <v>420000</v>
      </c>
    </row>
    <row r="58" spans="1:18" s="28" customFormat="1" ht="22.5" customHeight="1">
      <c r="A58" s="44" t="s">
        <v>107</v>
      </c>
      <c r="B58" s="63" t="s">
        <v>106</v>
      </c>
      <c r="C58" s="100" t="s">
        <v>36</v>
      </c>
      <c r="D58" s="97">
        <v>80</v>
      </c>
      <c r="E58" s="93">
        <f>+'DQE REHAB BAT A'!E58</f>
        <v>6000</v>
      </c>
      <c r="F58" s="32">
        <f t="shared" si="2"/>
        <v>480000</v>
      </c>
    </row>
    <row r="59" spans="1:18" s="28" customFormat="1" ht="22.5" customHeight="1">
      <c r="A59" s="44" t="s">
        <v>109</v>
      </c>
      <c r="B59" s="63" t="s">
        <v>108</v>
      </c>
      <c r="C59" s="100" t="s">
        <v>36</v>
      </c>
      <c r="D59" s="97">
        <f>D57+D58</f>
        <v>140</v>
      </c>
      <c r="E59" s="93">
        <f>+'DQE REHAB BAT A'!E59</f>
        <v>3000</v>
      </c>
      <c r="F59" s="32">
        <f t="shared" si="2"/>
        <v>420000</v>
      </c>
    </row>
    <row r="60" spans="1:18" s="28" customFormat="1" ht="21" customHeight="1">
      <c r="A60" s="44" t="s">
        <v>153</v>
      </c>
      <c r="B60" s="112" t="s">
        <v>152</v>
      </c>
      <c r="C60" s="114" t="s">
        <v>49</v>
      </c>
      <c r="D60" s="120">
        <v>4</v>
      </c>
      <c r="E60" s="118">
        <v>130000</v>
      </c>
      <c r="F60" s="32">
        <f t="shared" si="2"/>
        <v>520000</v>
      </c>
    </row>
    <row r="61" spans="1:18" ht="24.75" customHeight="1">
      <c r="A61" s="161" t="s">
        <v>96</v>
      </c>
      <c r="B61" s="162"/>
      <c r="C61" s="162"/>
      <c r="D61" s="162"/>
      <c r="E61" s="163"/>
      <c r="F61" s="95">
        <f>SUM(F52:F60)</f>
        <v>3000000</v>
      </c>
    </row>
    <row r="62" spans="1:18" ht="15">
      <c r="A62" s="154"/>
      <c r="B62" s="155"/>
      <c r="C62" s="164" t="s">
        <v>120</v>
      </c>
      <c r="D62" s="165"/>
      <c r="E62" s="166"/>
      <c r="F62" s="110">
        <f>SUM(F51+F23+F8+F34+F28+F46+F61+F39+F13)</f>
        <v>51975926.463972643</v>
      </c>
    </row>
    <row r="63" spans="1:18" ht="28.15" customHeight="1">
      <c r="A63" s="54"/>
      <c r="B63" s="65"/>
      <c r="C63" s="55"/>
      <c r="D63" s="98"/>
      <c r="E63" s="55"/>
      <c r="F63" s="56"/>
    </row>
    <row r="64" spans="1:18" ht="15">
      <c r="A64" s="54"/>
      <c r="B64" s="160"/>
      <c r="C64" s="160"/>
      <c r="D64" s="160"/>
      <c r="E64" s="160"/>
      <c r="F64" s="56"/>
    </row>
    <row r="65" spans="1:6" ht="17.25">
      <c r="A65" s="150" t="s">
        <v>159</v>
      </c>
      <c r="B65" s="151"/>
      <c r="C65" s="151"/>
    </row>
    <row r="66" spans="1:6">
      <c r="A66" s="127" t="s">
        <v>0</v>
      </c>
      <c r="B66" s="128" t="s">
        <v>160</v>
      </c>
      <c r="C66" s="127" t="s">
        <v>71</v>
      </c>
      <c r="D66" s="99"/>
      <c r="E66" s="57"/>
      <c r="F66" s="58" t="s">
        <v>48</v>
      </c>
    </row>
    <row r="67" spans="1:6">
      <c r="A67" s="129">
        <v>1</v>
      </c>
      <c r="B67" s="129" t="s">
        <v>6</v>
      </c>
      <c r="C67" s="130">
        <f>F8</f>
        <v>0</v>
      </c>
    </row>
    <row r="68" spans="1:6">
      <c r="A68" s="129">
        <v>2</v>
      </c>
      <c r="B68" s="129" t="s">
        <v>87</v>
      </c>
      <c r="C68" s="130">
        <f>F13</f>
        <v>802181.81818181812</v>
      </c>
    </row>
    <row r="69" spans="1:6">
      <c r="A69" s="129">
        <v>3</v>
      </c>
      <c r="B69" s="129" t="s">
        <v>161</v>
      </c>
      <c r="C69" s="130">
        <f>F23</f>
        <v>9108600</v>
      </c>
    </row>
    <row r="70" spans="1:6">
      <c r="A70" s="129">
        <v>4</v>
      </c>
      <c r="B70" s="129" t="s">
        <v>162</v>
      </c>
      <c r="C70" s="130">
        <f>F28</f>
        <v>18152200</v>
      </c>
    </row>
    <row r="71" spans="1:6">
      <c r="A71" s="129">
        <v>5</v>
      </c>
      <c r="B71" s="129" t="s">
        <v>163</v>
      </c>
      <c r="C71" s="130">
        <f>F34</f>
        <v>4567403.6457908247</v>
      </c>
    </row>
    <row r="72" spans="1:6">
      <c r="A72" s="129">
        <v>6</v>
      </c>
      <c r="B72" s="129" t="s">
        <v>164</v>
      </c>
      <c r="C72" s="130">
        <f>F39</f>
        <v>5941195</v>
      </c>
    </row>
    <row r="73" spans="1:6">
      <c r="A73" s="129">
        <v>7</v>
      </c>
      <c r="B73" s="129" t="s">
        <v>41</v>
      </c>
      <c r="C73" s="130">
        <f>F46</f>
        <v>3804346</v>
      </c>
    </row>
    <row r="74" spans="1:6">
      <c r="A74" s="129">
        <v>8</v>
      </c>
      <c r="B74" s="129" t="s">
        <v>165</v>
      </c>
      <c r="C74" s="130">
        <f>F51</f>
        <v>6600000</v>
      </c>
    </row>
    <row r="75" spans="1:6">
      <c r="A75" s="129">
        <v>9</v>
      </c>
      <c r="B75" s="129" t="s">
        <v>92</v>
      </c>
      <c r="C75" s="130">
        <f>F61</f>
        <v>3000000</v>
      </c>
    </row>
    <row r="76" spans="1:6" ht="15">
      <c r="A76" s="152" t="s">
        <v>166</v>
      </c>
      <c r="B76" s="153"/>
      <c r="C76" s="131">
        <f>SUM(C67:C75)</f>
        <v>51975926.463972643</v>
      </c>
    </row>
    <row r="78" spans="1:6" ht="15">
      <c r="A78" s="148" t="s">
        <v>192</v>
      </c>
    </row>
  </sheetData>
  <mergeCells count="16">
    <mergeCell ref="A28:E28"/>
    <mergeCell ref="B2:F2"/>
    <mergeCell ref="B3:F3"/>
    <mergeCell ref="B8:E8"/>
    <mergeCell ref="A13:E13"/>
    <mergeCell ref="B23:E23"/>
    <mergeCell ref="A65:C65"/>
    <mergeCell ref="A76:B76"/>
    <mergeCell ref="B64:E64"/>
    <mergeCell ref="A34:E34"/>
    <mergeCell ref="B39:E39"/>
    <mergeCell ref="A46:E46"/>
    <mergeCell ref="A51:E51"/>
    <mergeCell ref="A61:E61"/>
    <mergeCell ref="A62:B62"/>
    <mergeCell ref="C62:E62"/>
  </mergeCells>
  <phoneticPr fontId="27" type="noConversion"/>
  <printOptions horizontalCentered="1"/>
  <pageMargins left="0.25" right="0.25" top="0.75" bottom="0.75" header="0.3" footer="0.3"/>
  <pageSetup paperSize="9" scale="31" fitToHeight="0" orientation="portrait" r:id="rId1"/>
  <headerFooter>
    <oddFooter>Page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8"/>
  <sheetViews>
    <sheetView topLeftCell="A35" zoomScale="86" zoomScaleNormal="86" workbookViewId="0">
      <selection activeCell="E54" sqref="E54"/>
    </sheetView>
  </sheetViews>
  <sheetFormatPr baseColWidth="10" defaultColWidth="9.28515625" defaultRowHeight="14.25"/>
  <cols>
    <col min="1" max="1" width="6.7109375" style="1" customWidth="1"/>
    <col min="2" max="2" width="88.7109375" style="1" customWidth="1"/>
    <col min="3" max="3" width="18.85546875" style="3" customWidth="1"/>
    <col min="4" max="4" width="24.28515625" style="3" customWidth="1"/>
    <col min="5" max="5" width="20" style="2" customWidth="1"/>
    <col min="6" max="6" width="35.7109375" style="4" customWidth="1"/>
    <col min="7" max="7" width="12" style="5" customWidth="1"/>
    <col min="8" max="8" width="9.28515625" style="5" customWidth="1"/>
    <col min="9" max="9" width="23.7109375" style="5" customWidth="1"/>
    <col min="10" max="10" width="9.28515625" style="5" customWidth="1"/>
    <col min="11" max="11" width="12.42578125" style="5" customWidth="1"/>
    <col min="12" max="16384" width="9.28515625" style="5"/>
  </cols>
  <sheetData>
    <row r="1" spans="1:8" ht="75" customHeight="1"/>
    <row r="2" spans="1:8" ht="44.25" customHeight="1">
      <c r="A2" s="6"/>
      <c r="B2" s="158" t="s">
        <v>123</v>
      </c>
      <c r="C2" s="158"/>
      <c r="D2" s="158"/>
      <c r="E2" s="158"/>
      <c r="F2" s="159"/>
    </row>
    <row r="3" spans="1:8" ht="30.75" customHeight="1">
      <c r="A3" s="6"/>
      <c r="B3" s="158" t="s">
        <v>125</v>
      </c>
      <c r="C3" s="158"/>
      <c r="D3" s="158"/>
      <c r="E3" s="158"/>
      <c r="F3" s="159"/>
    </row>
    <row r="4" spans="1:8" s="11" customFormat="1" ht="27.75" customHeight="1">
      <c r="A4" s="7" t="s">
        <v>0</v>
      </c>
      <c r="B4" s="8" t="s">
        <v>1</v>
      </c>
      <c r="C4" s="7" t="s">
        <v>2</v>
      </c>
      <c r="D4" s="9" t="s">
        <v>3</v>
      </c>
      <c r="E4" s="9" t="s">
        <v>4</v>
      </c>
      <c r="F4" s="10" t="s">
        <v>5</v>
      </c>
    </row>
    <row r="5" spans="1:8" ht="27.75" customHeight="1">
      <c r="A5" s="12">
        <v>1</v>
      </c>
      <c r="B5" s="12" t="s">
        <v>6</v>
      </c>
      <c r="C5" s="13"/>
      <c r="D5" s="14"/>
      <c r="E5" s="15"/>
      <c r="F5" s="16"/>
    </row>
    <row r="6" spans="1:8" ht="27.75" customHeight="1">
      <c r="A6" s="17" t="s">
        <v>7</v>
      </c>
      <c r="B6" s="18" t="s">
        <v>8</v>
      </c>
      <c r="C6" s="17" t="s">
        <v>9</v>
      </c>
      <c r="D6" s="19">
        <v>0</v>
      </c>
      <c r="E6" s="72">
        <v>6000000</v>
      </c>
      <c r="F6" s="20">
        <f>+D6*E6</f>
        <v>0</v>
      </c>
    </row>
    <row r="7" spans="1:8" ht="27.75" customHeight="1">
      <c r="A7" s="17" t="s">
        <v>10</v>
      </c>
      <c r="B7" s="18" t="s">
        <v>11</v>
      </c>
      <c r="C7" s="17" t="s">
        <v>9</v>
      </c>
      <c r="D7" s="19">
        <v>0</v>
      </c>
      <c r="E7" s="72">
        <v>7000000</v>
      </c>
      <c r="F7" s="20">
        <f>+D7*E7</f>
        <v>0</v>
      </c>
    </row>
    <row r="8" spans="1:8" ht="27.75" customHeight="1">
      <c r="A8" s="21"/>
      <c r="B8" s="156" t="s">
        <v>12</v>
      </c>
      <c r="C8" s="156"/>
      <c r="D8" s="156"/>
      <c r="E8" s="157"/>
      <c r="F8" s="67">
        <f>SUM(F6:F7)</f>
        <v>0</v>
      </c>
    </row>
    <row r="9" spans="1:8" s="28" customFormat="1" ht="27" customHeight="1">
      <c r="A9" s="25">
        <v>2</v>
      </c>
      <c r="B9" s="25" t="s">
        <v>87</v>
      </c>
      <c r="C9" s="26"/>
      <c r="D9" s="14"/>
      <c r="E9" s="27"/>
      <c r="F9" s="27"/>
    </row>
    <row r="10" spans="1:8" customFormat="1" ht="38.450000000000003" customHeight="1">
      <c r="A10" s="29" t="s">
        <v>50</v>
      </c>
      <c r="B10" s="30" t="s">
        <v>117</v>
      </c>
      <c r="C10" s="106" t="s">
        <v>64</v>
      </c>
      <c r="D10" s="96">
        <v>1</v>
      </c>
      <c r="E10" s="32">
        <v>200000</v>
      </c>
      <c r="F10" s="32">
        <f>+D10*E10</f>
        <v>200000</v>
      </c>
      <c r="H10" s="103"/>
    </row>
    <row r="11" spans="1:8" s="28" customFormat="1" ht="42" customHeight="1">
      <c r="A11" s="29" t="s">
        <v>51</v>
      </c>
      <c r="B11" s="30" t="s">
        <v>121</v>
      </c>
      <c r="C11" s="29" t="s">
        <v>20</v>
      </c>
      <c r="D11" s="96">
        <v>16</v>
      </c>
      <c r="E11" s="32">
        <v>24000</v>
      </c>
      <c r="F11" s="32">
        <f>+D11*E11</f>
        <v>384000</v>
      </c>
    </row>
    <row r="12" spans="1:8" s="28" customFormat="1" ht="40.5" customHeight="1">
      <c r="A12" s="29" t="s">
        <v>52</v>
      </c>
      <c r="B12" s="101" t="s">
        <v>116</v>
      </c>
      <c r="C12" s="29" t="s">
        <v>20</v>
      </c>
      <c r="D12" s="96">
        <f>D11/2.2</f>
        <v>7.2727272727272725</v>
      </c>
      <c r="E12" s="32">
        <v>30000</v>
      </c>
      <c r="F12" s="32">
        <f>+D12*E12</f>
        <v>218181.81818181818</v>
      </c>
    </row>
    <row r="13" spans="1:8" s="28" customFormat="1" ht="27" customHeight="1">
      <c r="A13" s="161" t="s">
        <v>88</v>
      </c>
      <c r="B13" s="162"/>
      <c r="C13" s="162"/>
      <c r="D13" s="162"/>
      <c r="E13" s="163"/>
      <c r="F13" s="95">
        <f>SUM(F10:F12)</f>
        <v>802181.81818181812</v>
      </c>
    </row>
    <row r="14" spans="1:8" ht="27.75" customHeight="1">
      <c r="A14" s="12">
        <v>3</v>
      </c>
      <c r="B14" s="12" t="s">
        <v>13</v>
      </c>
      <c r="C14" s="13"/>
      <c r="D14" s="14"/>
      <c r="E14" s="15"/>
      <c r="F14" s="16"/>
    </row>
    <row r="15" spans="1:8" s="28" customFormat="1" ht="46.5" customHeight="1">
      <c r="A15" s="29" t="s">
        <v>18</v>
      </c>
      <c r="B15" s="30" t="s">
        <v>65</v>
      </c>
      <c r="C15" s="29" t="s">
        <v>20</v>
      </c>
      <c r="D15" s="31">
        <v>2.72</v>
      </c>
      <c r="E15" s="32">
        <v>300000</v>
      </c>
      <c r="F15" s="32">
        <f>E15*D15</f>
        <v>816000.00000000012</v>
      </c>
    </row>
    <row r="16" spans="1:8" s="28" customFormat="1" ht="48.75" customHeight="1">
      <c r="A16" s="29" t="s">
        <v>21</v>
      </c>
      <c r="B16" s="30" t="s">
        <v>122</v>
      </c>
      <c r="C16" s="29" t="s">
        <v>20</v>
      </c>
      <c r="D16" s="31">
        <f>D15*2</f>
        <v>5.44</v>
      </c>
      <c r="E16" s="32">
        <v>380000</v>
      </c>
      <c r="F16" s="32">
        <f t="shared" ref="F16:F22" si="0">+D16*E16</f>
        <v>2067200.0000000002</v>
      </c>
    </row>
    <row r="17" spans="1:9" s="28" customFormat="1" ht="35.25" customHeight="1">
      <c r="A17" s="29" t="s">
        <v>24</v>
      </c>
      <c r="B17" s="30" t="s">
        <v>19</v>
      </c>
      <c r="C17" s="94" t="s">
        <v>85</v>
      </c>
      <c r="D17" s="31">
        <v>1.5</v>
      </c>
      <c r="E17" s="32">
        <v>600000</v>
      </c>
      <c r="F17" s="32">
        <f t="shared" si="0"/>
        <v>900000</v>
      </c>
      <c r="H17" s="33"/>
      <c r="I17" s="33"/>
    </row>
    <row r="18" spans="1:9" s="28" customFormat="1" ht="47.25" customHeight="1">
      <c r="A18" s="29" t="s">
        <v>74</v>
      </c>
      <c r="B18" s="30" t="s">
        <v>22</v>
      </c>
      <c r="C18" s="29" t="s">
        <v>23</v>
      </c>
      <c r="D18" s="31">
        <f>D17*90</f>
        <v>135</v>
      </c>
      <c r="E18" s="32">
        <v>12000</v>
      </c>
      <c r="F18" s="32">
        <f t="shared" si="0"/>
        <v>1620000</v>
      </c>
    </row>
    <row r="19" spans="1:9" s="28" customFormat="1" ht="40.5" customHeight="1">
      <c r="A19" s="29" t="s">
        <v>76</v>
      </c>
      <c r="B19" s="30" t="s">
        <v>25</v>
      </c>
      <c r="C19" s="29" t="s">
        <v>26</v>
      </c>
      <c r="D19" s="31">
        <f>D17*14.2</f>
        <v>21.299999999999997</v>
      </c>
      <c r="E19" s="32">
        <v>25000</v>
      </c>
      <c r="F19" s="32">
        <f t="shared" si="0"/>
        <v>532499.99999999988</v>
      </c>
    </row>
    <row r="20" spans="1:9" s="28" customFormat="1" ht="48.75" customHeight="1">
      <c r="A20" s="29" t="s">
        <v>89</v>
      </c>
      <c r="B20" s="30" t="s">
        <v>54</v>
      </c>
      <c r="C20" s="29" t="s">
        <v>20</v>
      </c>
      <c r="D20" s="31">
        <v>8.15</v>
      </c>
      <c r="E20" s="32">
        <v>110000</v>
      </c>
      <c r="F20" s="32">
        <f t="shared" si="0"/>
        <v>896500</v>
      </c>
    </row>
    <row r="21" spans="1:9" s="28" customFormat="1" ht="33.75" customHeight="1">
      <c r="A21" s="29" t="s">
        <v>90</v>
      </c>
      <c r="B21" s="30" t="s">
        <v>66</v>
      </c>
      <c r="C21" s="29" t="s">
        <v>20</v>
      </c>
      <c r="D21" s="31">
        <v>1.78</v>
      </c>
      <c r="E21" s="72">
        <v>480000</v>
      </c>
      <c r="F21" s="32">
        <f t="shared" si="0"/>
        <v>854400</v>
      </c>
    </row>
    <row r="22" spans="1:9" ht="49.5" customHeight="1">
      <c r="A22" s="29" t="s">
        <v>91</v>
      </c>
      <c r="B22" s="22" t="s">
        <v>14</v>
      </c>
      <c r="C22" s="23" t="s">
        <v>15</v>
      </c>
      <c r="D22" s="31">
        <v>56.88</v>
      </c>
      <c r="E22" s="72">
        <v>25000</v>
      </c>
      <c r="F22" s="20">
        <f t="shared" si="0"/>
        <v>1422000</v>
      </c>
    </row>
    <row r="23" spans="1:9" ht="21" customHeight="1">
      <c r="A23" s="21"/>
      <c r="B23" s="156" t="s">
        <v>16</v>
      </c>
      <c r="C23" s="156"/>
      <c r="D23" s="156"/>
      <c r="E23" s="157"/>
      <c r="F23" s="24">
        <f>SUM(F15:F22)</f>
        <v>9108600</v>
      </c>
    </row>
    <row r="24" spans="1:9" s="28" customFormat="1" ht="30" customHeight="1">
      <c r="A24" s="25">
        <v>4</v>
      </c>
      <c r="B24" s="25" t="s">
        <v>17</v>
      </c>
      <c r="C24" s="26"/>
      <c r="D24" s="14"/>
      <c r="E24" s="27"/>
      <c r="F24" s="27"/>
    </row>
    <row r="25" spans="1:9" s="28" customFormat="1" ht="35.25" customHeight="1">
      <c r="A25" s="29" t="s">
        <v>61</v>
      </c>
      <c r="B25" s="30" t="s">
        <v>19</v>
      </c>
      <c r="C25" s="29" t="s">
        <v>20</v>
      </c>
      <c r="D25" s="31">
        <f>8.92</f>
        <v>8.92</v>
      </c>
      <c r="E25" s="32">
        <v>600000</v>
      </c>
      <c r="F25" s="32">
        <f>+D25*E25</f>
        <v>5352000</v>
      </c>
      <c r="H25" s="33"/>
      <c r="I25" s="33"/>
    </row>
    <row r="26" spans="1:9" s="28" customFormat="1" ht="47.25" customHeight="1">
      <c r="A26" s="29" t="s">
        <v>62</v>
      </c>
      <c r="B26" s="30" t="s">
        <v>22</v>
      </c>
      <c r="C26" s="29" t="s">
        <v>23</v>
      </c>
      <c r="D26" s="31">
        <f>D25*90</f>
        <v>802.8</v>
      </c>
      <c r="E26" s="32">
        <v>12000</v>
      </c>
      <c r="F26" s="32">
        <f>+D26*E26</f>
        <v>9633600</v>
      </c>
    </row>
    <row r="27" spans="1:9" s="28" customFormat="1" ht="40.5" customHeight="1">
      <c r="A27" s="29" t="s">
        <v>63</v>
      </c>
      <c r="B27" s="30" t="s">
        <v>25</v>
      </c>
      <c r="C27" s="29" t="s">
        <v>26</v>
      </c>
      <c r="D27" s="31">
        <f>D25*14.2</f>
        <v>126.66399999999999</v>
      </c>
      <c r="E27" s="32">
        <v>25000</v>
      </c>
      <c r="F27" s="32">
        <f>+D27*E27</f>
        <v>3166599.9999999995</v>
      </c>
    </row>
    <row r="28" spans="1:9" s="28" customFormat="1" ht="28.5" customHeight="1">
      <c r="A28" s="161" t="s">
        <v>27</v>
      </c>
      <c r="B28" s="162"/>
      <c r="C28" s="162"/>
      <c r="D28" s="162"/>
      <c r="E28" s="163"/>
      <c r="F28" s="35">
        <f>SUM(F25:F27)</f>
        <v>18152200</v>
      </c>
    </row>
    <row r="29" spans="1:9" s="28" customFormat="1" ht="15">
      <c r="A29" s="25">
        <v>5</v>
      </c>
      <c r="B29" s="43" t="s">
        <v>32</v>
      </c>
      <c r="C29" s="43"/>
      <c r="D29" s="14"/>
      <c r="E29" s="27"/>
      <c r="F29" s="27"/>
    </row>
    <row r="30" spans="1:9" s="28" customFormat="1" ht="28.5">
      <c r="A30" s="44" t="s">
        <v>33</v>
      </c>
      <c r="B30" s="63" t="s">
        <v>34</v>
      </c>
      <c r="C30" s="45" t="s">
        <v>30</v>
      </c>
      <c r="D30" s="34">
        <v>30.23</v>
      </c>
      <c r="E30" s="46">
        <v>43513.586869821607</v>
      </c>
      <c r="F30" s="32">
        <f>+D30*E30</f>
        <v>1315415.7310747071</v>
      </c>
    </row>
    <row r="31" spans="1:9" s="28" customFormat="1" ht="42.75">
      <c r="A31" s="44" t="s">
        <v>35</v>
      </c>
      <c r="B31" s="63" t="s">
        <v>39</v>
      </c>
      <c r="C31" s="45" t="s">
        <v>30</v>
      </c>
      <c r="D31" s="34">
        <v>30.23</v>
      </c>
      <c r="E31" s="46">
        <v>28451.19141488336</v>
      </c>
      <c r="F31" s="32">
        <f>+D31*E31</f>
        <v>860079.51647192403</v>
      </c>
    </row>
    <row r="32" spans="1:9" customFormat="1" ht="34.5" customHeight="1">
      <c r="A32" s="44" t="s">
        <v>37</v>
      </c>
      <c r="B32" s="105" t="s">
        <v>77</v>
      </c>
      <c r="C32" s="69" t="s">
        <v>36</v>
      </c>
      <c r="D32" s="34">
        <v>38.4</v>
      </c>
      <c r="E32" s="70">
        <v>38492.788384842192</v>
      </c>
      <c r="F32" s="71">
        <f>+D32*E32</f>
        <v>1478123.07397794</v>
      </c>
    </row>
    <row r="33" spans="1:18" s="28" customFormat="1" ht="30" customHeight="1">
      <c r="A33" s="44" t="s">
        <v>38</v>
      </c>
      <c r="B33" s="63" t="s">
        <v>75</v>
      </c>
      <c r="C33" s="45" t="s">
        <v>36</v>
      </c>
      <c r="D33" s="34">
        <v>10.4</v>
      </c>
      <c r="E33" s="91">
        <v>87863.973487139781</v>
      </c>
      <c r="F33" s="71">
        <f>+D33*E33</f>
        <v>913785.32426625374</v>
      </c>
      <c r="G33" s="90"/>
      <c r="J33" s="89"/>
    </row>
    <row r="34" spans="1:18" s="28" customFormat="1" ht="21" customHeight="1">
      <c r="A34" s="161" t="s">
        <v>40</v>
      </c>
      <c r="B34" s="162"/>
      <c r="C34" s="162"/>
      <c r="D34" s="162"/>
      <c r="E34" s="163"/>
      <c r="F34" s="35">
        <f>SUM(F30:F33)</f>
        <v>4567403.6457908247</v>
      </c>
    </row>
    <row r="35" spans="1:18" ht="20.25" customHeight="1">
      <c r="A35" s="12">
        <v>6</v>
      </c>
      <c r="B35" s="36" t="s">
        <v>28</v>
      </c>
      <c r="C35" s="36"/>
      <c r="D35" s="37"/>
      <c r="E35" s="38"/>
      <c r="F35" s="16"/>
    </row>
    <row r="36" spans="1:18" ht="28.5">
      <c r="A36" s="39" t="s">
        <v>55</v>
      </c>
      <c r="B36" s="61" t="s">
        <v>187</v>
      </c>
      <c r="C36" s="40" t="s">
        <v>30</v>
      </c>
      <c r="D36" s="41">
        <v>22.56</v>
      </c>
      <c r="E36" s="42">
        <v>50000</v>
      </c>
      <c r="F36" s="20">
        <f>+D36*E36</f>
        <v>1128000</v>
      </c>
    </row>
    <row r="37" spans="1:18" ht="42.75">
      <c r="A37" s="39" t="s">
        <v>56</v>
      </c>
      <c r="B37" s="62" t="s">
        <v>29</v>
      </c>
      <c r="C37" s="40" t="s">
        <v>30</v>
      </c>
      <c r="D37" s="41">
        <v>181.63</v>
      </c>
      <c r="E37" s="42">
        <v>25000</v>
      </c>
      <c r="F37" s="20">
        <f>+D37*E37</f>
        <v>4540750</v>
      </c>
    </row>
    <row r="38" spans="1:18" ht="42.75">
      <c r="A38" s="121">
        <v>6.3</v>
      </c>
      <c r="B38" s="123" t="s">
        <v>185</v>
      </c>
      <c r="C38" s="124" t="s">
        <v>30</v>
      </c>
      <c r="D38" s="125">
        <f>D43*0.3</f>
        <v>27.244499999999999</v>
      </c>
      <c r="E38" s="126">
        <v>10000</v>
      </c>
      <c r="F38" s="122">
        <f>D38*E38</f>
        <v>272445</v>
      </c>
    </row>
    <row r="39" spans="1:18" ht="21" customHeight="1">
      <c r="A39" s="21"/>
      <c r="B39" s="167" t="s">
        <v>31</v>
      </c>
      <c r="C39" s="167"/>
      <c r="D39" s="167"/>
      <c r="E39" s="168"/>
      <c r="F39" s="24">
        <f>SUM(F36:F38)</f>
        <v>5941195</v>
      </c>
    </row>
    <row r="40" spans="1:18" ht="19.5" customHeight="1">
      <c r="A40" s="12">
        <v>7</v>
      </c>
      <c r="B40" s="36" t="s">
        <v>41</v>
      </c>
      <c r="C40" s="36"/>
      <c r="D40" s="37"/>
      <c r="E40" s="38"/>
      <c r="F40" s="16"/>
    </row>
    <row r="41" spans="1:18" ht="19.5" customHeight="1">
      <c r="A41" s="39" t="s">
        <v>59</v>
      </c>
      <c r="B41" s="61" t="s">
        <v>42</v>
      </c>
      <c r="C41" s="40" t="s">
        <v>30</v>
      </c>
      <c r="D41" s="41">
        <f>D42</f>
        <v>108.97799999999999</v>
      </c>
      <c r="E41" s="47">
        <v>9000</v>
      </c>
      <c r="F41" s="20">
        <f>+D41*E41</f>
        <v>980802</v>
      </c>
    </row>
    <row r="42" spans="1:18" ht="26.25" customHeight="1">
      <c r="A42" s="39" t="s">
        <v>60</v>
      </c>
      <c r="B42" s="61" t="s">
        <v>43</v>
      </c>
      <c r="C42" s="40" t="s">
        <v>30</v>
      </c>
      <c r="D42" s="41">
        <f>D37*0.6</f>
        <v>108.97799999999999</v>
      </c>
      <c r="E42" s="47">
        <v>8000</v>
      </c>
      <c r="F42" s="20">
        <f>+D42*E42</f>
        <v>871824</v>
      </c>
      <c r="I42" s="48"/>
    </row>
    <row r="43" spans="1:18" ht="27.75" customHeight="1">
      <c r="A43" s="39" t="s">
        <v>80</v>
      </c>
      <c r="B43" s="61" t="s">
        <v>44</v>
      </c>
      <c r="C43" s="40" t="s">
        <v>30</v>
      </c>
      <c r="D43" s="41">
        <f>D37*0.5</f>
        <v>90.814999999999998</v>
      </c>
      <c r="E43" s="47">
        <v>8000</v>
      </c>
      <c r="F43" s="20">
        <f>+D43*E43</f>
        <v>726520</v>
      </c>
    </row>
    <row r="44" spans="1:18" ht="27.75" customHeight="1">
      <c r="A44" s="39">
        <v>7.5</v>
      </c>
      <c r="B44" s="61" t="s">
        <v>157</v>
      </c>
      <c r="C44" s="40" t="s">
        <v>30</v>
      </c>
      <c r="D44" s="41">
        <f>D22</f>
        <v>56.88</v>
      </c>
      <c r="E44" s="47">
        <v>15000</v>
      </c>
      <c r="F44" s="20">
        <f>D44*E44</f>
        <v>853200</v>
      </c>
    </row>
    <row r="45" spans="1:18" ht="36" customHeight="1">
      <c r="A45" s="39" t="s">
        <v>81</v>
      </c>
      <c r="B45" s="61" t="s">
        <v>127</v>
      </c>
      <c r="C45" s="40" t="s">
        <v>30</v>
      </c>
      <c r="D45" s="41">
        <f>24.8</f>
        <v>24.8</v>
      </c>
      <c r="E45" s="42">
        <v>15000</v>
      </c>
      <c r="F45" s="20">
        <f>+D45*E45</f>
        <v>372000</v>
      </c>
    </row>
    <row r="46" spans="1:18" s="28" customFormat="1" ht="18" customHeight="1">
      <c r="A46" s="169" t="s">
        <v>45</v>
      </c>
      <c r="B46" s="170"/>
      <c r="C46" s="170"/>
      <c r="D46" s="170"/>
      <c r="E46" s="171"/>
      <c r="F46" s="35">
        <f>SUM(F41:F45)</f>
        <v>3804346</v>
      </c>
    </row>
    <row r="47" spans="1:18" ht="17.25" customHeight="1">
      <c r="A47" s="12">
        <v>8</v>
      </c>
      <c r="B47" s="36" t="s">
        <v>46</v>
      </c>
      <c r="C47" s="36"/>
      <c r="D47" s="37"/>
      <c r="E47" s="38"/>
      <c r="F47" s="16"/>
    </row>
    <row r="48" spans="1:18" s="53" customFormat="1" ht="22.5" customHeight="1">
      <c r="A48" s="49" t="s">
        <v>82</v>
      </c>
      <c r="B48" s="64" t="s">
        <v>183</v>
      </c>
      <c r="C48" s="50" t="s">
        <v>49</v>
      </c>
      <c r="D48" s="51">
        <v>2</v>
      </c>
      <c r="E48" s="52">
        <v>900000</v>
      </c>
      <c r="F48" s="59">
        <f>SUM(D48*E48)</f>
        <v>1800000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0"/>
    </row>
    <row r="49" spans="1:18" s="53" customFormat="1" ht="23.25" customHeight="1">
      <c r="A49" s="49" t="s">
        <v>83</v>
      </c>
      <c r="B49" s="64" t="s">
        <v>151</v>
      </c>
      <c r="C49" s="50" t="s">
        <v>49</v>
      </c>
      <c r="D49" s="51">
        <v>4</v>
      </c>
      <c r="E49" s="52">
        <v>850000</v>
      </c>
      <c r="F49" s="59">
        <f>SUM(D49*E49)</f>
        <v>3400000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60"/>
    </row>
    <row r="50" spans="1:18" s="28" customFormat="1" ht="24" customHeight="1">
      <c r="A50" s="132">
        <v>8.3000000000000007</v>
      </c>
      <c r="B50" s="133" t="s">
        <v>167</v>
      </c>
      <c r="C50" s="134" t="s">
        <v>36</v>
      </c>
      <c r="D50" s="135">
        <v>7</v>
      </c>
      <c r="E50" s="136">
        <v>200000</v>
      </c>
      <c r="F50" s="122">
        <f>D50*E50</f>
        <v>1400000</v>
      </c>
    </row>
    <row r="51" spans="1:18" s="28" customFormat="1" ht="15">
      <c r="A51" s="161" t="s">
        <v>47</v>
      </c>
      <c r="B51" s="162"/>
      <c r="C51" s="162"/>
      <c r="D51" s="162"/>
      <c r="E51" s="163"/>
      <c r="F51" s="68">
        <f>SUM(F48:F50)</f>
        <v>6600000</v>
      </c>
    </row>
    <row r="52" spans="1:18" s="28" customFormat="1" ht="20.25" customHeight="1">
      <c r="A52" s="25">
        <v>9</v>
      </c>
      <c r="B52" s="43" t="s">
        <v>92</v>
      </c>
      <c r="C52" s="43"/>
      <c r="D52" s="14"/>
      <c r="E52" s="27"/>
      <c r="F52" s="27"/>
    </row>
    <row r="53" spans="1:18" s="28" customFormat="1" ht="24" customHeight="1">
      <c r="A53" s="44" t="s">
        <v>97</v>
      </c>
      <c r="B53" s="63" t="s">
        <v>147</v>
      </c>
      <c r="C53" s="45" t="s">
        <v>2</v>
      </c>
      <c r="D53" s="97">
        <v>1</v>
      </c>
      <c r="E53" s="93">
        <v>500000</v>
      </c>
      <c r="F53" s="32">
        <f t="shared" ref="F53:F56" si="1">+D53*E53</f>
        <v>500000</v>
      </c>
    </row>
    <row r="54" spans="1:18" s="28" customFormat="1" ht="24" customHeight="1">
      <c r="A54" s="44" t="s">
        <v>98</v>
      </c>
      <c r="B54" s="63" t="s">
        <v>93</v>
      </c>
      <c r="C54" s="45" t="s">
        <v>2</v>
      </c>
      <c r="D54" s="97">
        <v>2</v>
      </c>
      <c r="E54" s="93">
        <v>250000</v>
      </c>
      <c r="F54" s="32">
        <f t="shared" si="1"/>
        <v>500000</v>
      </c>
    </row>
    <row r="55" spans="1:18" s="28" customFormat="1" ht="25.5" customHeight="1">
      <c r="A55" s="44" t="s">
        <v>99</v>
      </c>
      <c r="B55" s="63" t="s">
        <v>155</v>
      </c>
      <c r="C55" s="45" t="s">
        <v>2</v>
      </c>
      <c r="D55" s="97">
        <v>2</v>
      </c>
      <c r="E55" s="93">
        <v>20000</v>
      </c>
      <c r="F55" s="32">
        <f t="shared" si="1"/>
        <v>40000</v>
      </c>
    </row>
    <row r="56" spans="1:18" s="28" customFormat="1" ht="20.25" customHeight="1">
      <c r="A56" s="44" t="s">
        <v>100</v>
      </c>
      <c r="B56" s="63" t="s">
        <v>95</v>
      </c>
      <c r="C56" s="45" t="s">
        <v>2</v>
      </c>
      <c r="D56" s="97">
        <v>4</v>
      </c>
      <c r="E56" s="93">
        <v>30000</v>
      </c>
      <c r="F56" s="32">
        <f t="shared" si="1"/>
        <v>120000</v>
      </c>
    </row>
    <row r="57" spans="1:18" s="28" customFormat="1" ht="20.25" customHeight="1">
      <c r="A57" s="44" t="s">
        <v>105</v>
      </c>
      <c r="B57" s="63" t="s">
        <v>119</v>
      </c>
      <c r="C57" s="100" t="s">
        <v>36</v>
      </c>
      <c r="D57" s="97">
        <v>60</v>
      </c>
      <c r="E57" s="93">
        <f>+'DQE REHAB BAT B'!E57</f>
        <v>7000</v>
      </c>
      <c r="F57" s="32">
        <f t="shared" ref="F57:F60" si="2">+E57*D57</f>
        <v>420000</v>
      </c>
    </row>
    <row r="58" spans="1:18" s="28" customFormat="1" ht="20.25" customHeight="1">
      <c r="A58" s="44" t="s">
        <v>107</v>
      </c>
      <c r="B58" s="63" t="s">
        <v>106</v>
      </c>
      <c r="C58" s="100" t="s">
        <v>36</v>
      </c>
      <c r="D58" s="97">
        <v>80</v>
      </c>
      <c r="E58" s="93">
        <f>+'DQE REHAB BAT B'!E58</f>
        <v>6000</v>
      </c>
      <c r="F58" s="32">
        <f t="shared" si="2"/>
        <v>480000</v>
      </c>
    </row>
    <row r="59" spans="1:18" s="28" customFormat="1" ht="20.25" customHeight="1">
      <c r="A59" s="44" t="s">
        <v>109</v>
      </c>
      <c r="B59" s="63" t="s">
        <v>108</v>
      </c>
      <c r="C59" s="100" t="s">
        <v>36</v>
      </c>
      <c r="D59" s="97">
        <f>D57+D58</f>
        <v>140</v>
      </c>
      <c r="E59" s="93">
        <f>+'DQE REHAB BAT B'!E59</f>
        <v>3000</v>
      </c>
      <c r="F59" s="32">
        <f t="shared" si="2"/>
        <v>420000</v>
      </c>
    </row>
    <row r="60" spans="1:18" s="28" customFormat="1" ht="21" customHeight="1">
      <c r="A60" s="44" t="s">
        <v>153</v>
      </c>
      <c r="B60" s="112" t="s">
        <v>152</v>
      </c>
      <c r="C60" s="114" t="s">
        <v>49</v>
      </c>
      <c r="D60" s="120">
        <v>4</v>
      </c>
      <c r="E60" s="118">
        <v>130000</v>
      </c>
      <c r="F60" s="32">
        <f t="shared" si="2"/>
        <v>520000</v>
      </c>
    </row>
    <row r="61" spans="1:18" ht="24.75" customHeight="1">
      <c r="A61" s="161" t="s">
        <v>96</v>
      </c>
      <c r="B61" s="162"/>
      <c r="C61" s="162"/>
      <c r="D61" s="162"/>
      <c r="E61" s="163"/>
      <c r="F61" s="95">
        <f>SUM(F52:F60)</f>
        <v>3000000</v>
      </c>
    </row>
    <row r="62" spans="1:18" ht="15">
      <c r="A62" s="154"/>
      <c r="B62" s="155"/>
      <c r="C62" s="164" t="s">
        <v>120</v>
      </c>
      <c r="D62" s="165"/>
      <c r="E62" s="166"/>
      <c r="F62" s="110">
        <f>SUM(F51+F23+F8+F34+F28+F46+F61+F39+F13)</f>
        <v>51975926.463972643</v>
      </c>
    </row>
    <row r="63" spans="1:18" ht="28.15" customHeight="1">
      <c r="A63" s="54"/>
      <c r="B63" s="65"/>
      <c r="C63" s="55"/>
      <c r="D63" s="98"/>
      <c r="E63" s="55"/>
      <c r="F63" s="56"/>
    </row>
    <row r="64" spans="1:18" ht="15">
      <c r="A64" s="54"/>
      <c r="B64" s="160"/>
      <c r="C64" s="160"/>
      <c r="D64" s="160"/>
      <c r="E64" s="160"/>
      <c r="F64" s="56"/>
    </row>
    <row r="65" spans="1:6" ht="17.25">
      <c r="A65" s="150" t="s">
        <v>159</v>
      </c>
      <c r="B65" s="151"/>
      <c r="C65" s="151"/>
    </row>
    <row r="66" spans="1:6">
      <c r="A66" s="127" t="s">
        <v>0</v>
      </c>
      <c r="B66" s="128" t="s">
        <v>160</v>
      </c>
      <c r="C66" s="127" t="s">
        <v>71</v>
      </c>
      <c r="D66" s="99"/>
      <c r="E66" s="57"/>
      <c r="F66" s="58" t="s">
        <v>48</v>
      </c>
    </row>
    <row r="67" spans="1:6">
      <c r="A67" s="129">
        <v>1</v>
      </c>
      <c r="B67" s="129" t="s">
        <v>6</v>
      </c>
      <c r="C67" s="130">
        <f>F8</f>
        <v>0</v>
      </c>
    </row>
    <row r="68" spans="1:6">
      <c r="A68" s="129">
        <v>2</v>
      </c>
      <c r="B68" s="129" t="s">
        <v>87</v>
      </c>
      <c r="C68" s="130">
        <f>F13</f>
        <v>802181.81818181812</v>
      </c>
    </row>
    <row r="69" spans="1:6">
      <c r="A69" s="129">
        <v>3</v>
      </c>
      <c r="B69" s="129" t="s">
        <v>161</v>
      </c>
      <c r="C69" s="130">
        <f>F23</f>
        <v>9108600</v>
      </c>
    </row>
    <row r="70" spans="1:6">
      <c r="A70" s="129">
        <v>4</v>
      </c>
      <c r="B70" s="129" t="s">
        <v>162</v>
      </c>
      <c r="C70" s="130">
        <f>F28</f>
        <v>18152200</v>
      </c>
    </row>
    <row r="71" spans="1:6">
      <c r="A71" s="129">
        <v>5</v>
      </c>
      <c r="B71" s="129" t="s">
        <v>163</v>
      </c>
      <c r="C71" s="130">
        <f>F34</f>
        <v>4567403.6457908247</v>
      </c>
    </row>
    <row r="72" spans="1:6">
      <c r="A72" s="129">
        <v>6</v>
      </c>
      <c r="B72" s="129" t="s">
        <v>164</v>
      </c>
      <c r="C72" s="130">
        <f>F39</f>
        <v>5941195</v>
      </c>
    </row>
    <row r="73" spans="1:6">
      <c r="A73" s="129">
        <v>7</v>
      </c>
      <c r="B73" s="129" t="s">
        <v>41</v>
      </c>
      <c r="C73" s="130">
        <f>F46</f>
        <v>3804346</v>
      </c>
    </row>
    <row r="74" spans="1:6">
      <c r="A74" s="129">
        <v>8</v>
      </c>
      <c r="B74" s="129" t="s">
        <v>165</v>
      </c>
      <c r="C74" s="130">
        <f>F51</f>
        <v>6600000</v>
      </c>
    </row>
    <row r="75" spans="1:6">
      <c r="A75" s="129">
        <v>9</v>
      </c>
      <c r="B75" s="129" t="s">
        <v>92</v>
      </c>
      <c r="C75" s="130">
        <f>F61</f>
        <v>3000000</v>
      </c>
    </row>
    <row r="76" spans="1:6" ht="15">
      <c r="A76" s="152" t="s">
        <v>166</v>
      </c>
      <c r="B76" s="153"/>
      <c r="C76" s="131">
        <f>SUM(C67:C75)</f>
        <v>51975926.463972643</v>
      </c>
    </row>
    <row r="78" spans="1:6" ht="15">
      <c r="A78" s="148" t="s">
        <v>192</v>
      </c>
    </row>
  </sheetData>
  <mergeCells count="16">
    <mergeCell ref="A28:E28"/>
    <mergeCell ref="B2:F2"/>
    <mergeCell ref="B3:F3"/>
    <mergeCell ref="B8:E8"/>
    <mergeCell ref="A13:E13"/>
    <mergeCell ref="B23:E23"/>
    <mergeCell ref="A65:C65"/>
    <mergeCell ref="A76:B76"/>
    <mergeCell ref="B64:E64"/>
    <mergeCell ref="A34:E34"/>
    <mergeCell ref="B39:E39"/>
    <mergeCell ref="A46:E46"/>
    <mergeCell ref="A51:E51"/>
    <mergeCell ref="A61:E61"/>
    <mergeCell ref="A62:B62"/>
    <mergeCell ref="C62:E62"/>
  </mergeCells>
  <printOptions horizontalCentered="1"/>
  <pageMargins left="0.25" right="0.25" top="0.75" bottom="0.75" header="0.3" footer="0.3"/>
  <pageSetup paperSize="9" scale="31" fitToHeight="0" orientation="portrait" r:id="rId1"/>
  <headerFooter>
    <oddFooter>Page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80"/>
  <sheetViews>
    <sheetView topLeftCell="A40" zoomScale="91" zoomScaleNormal="91" workbookViewId="0">
      <selection activeCell="E33" sqref="E33"/>
    </sheetView>
  </sheetViews>
  <sheetFormatPr baseColWidth="10" defaultColWidth="9.28515625" defaultRowHeight="14.25"/>
  <cols>
    <col min="1" max="1" width="6.7109375" style="1" customWidth="1"/>
    <col min="2" max="2" width="88.7109375" style="1" customWidth="1"/>
    <col min="3" max="3" width="18.140625" style="3" customWidth="1"/>
    <col min="4" max="4" width="24.28515625" style="3" customWidth="1"/>
    <col min="5" max="5" width="20" style="2" customWidth="1"/>
    <col min="6" max="6" width="35.7109375" style="4" customWidth="1"/>
    <col min="7" max="7" width="12" style="5" customWidth="1"/>
    <col min="8" max="8" width="9.28515625" style="5" customWidth="1"/>
    <col min="9" max="9" width="23.7109375" style="5" customWidth="1"/>
    <col min="10" max="10" width="9.28515625" style="5" customWidth="1"/>
    <col min="11" max="11" width="12.42578125" style="5" customWidth="1"/>
    <col min="12" max="16384" width="9.28515625" style="5"/>
  </cols>
  <sheetData>
    <row r="1" spans="1:8" ht="75" customHeight="1"/>
    <row r="2" spans="1:8" ht="44.25" customHeight="1">
      <c r="A2" s="6"/>
      <c r="B2" s="158" t="s">
        <v>123</v>
      </c>
      <c r="C2" s="158"/>
      <c r="D2" s="158"/>
      <c r="E2" s="158"/>
      <c r="F2" s="159"/>
    </row>
    <row r="3" spans="1:8" ht="30.75" customHeight="1">
      <c r="A3" s="6"/>
      <c r="B3" s="158" t="s">
        <v>128</v>
      </c>
      <c r="C3" s="158"/>
      <c r="D3" s="158"/>
      <c r="E3" s="158"/>
      <c r="F3" s="159"/>
    </row>
    <row r="4" spans="1:8" s="11" customFormat="1" ht="27.75" customHeight="1">
      <c r="A4" s="7" t="s">
        <v>0</v>
      </c>
      <c r="B4" s="8" t="s">
        <v>1</v>
      </c>
      <c r="C4" s="7" t="s">
        <v>2</v>
      </c>
      <c r="D4" s="9" t="s">
        <v>3</v>
      </c>
      <c r="E4" s="9" t="s">
        <v>4</v>
      </c>
      <c r="F4" s="10" t="s">
        <v>5</v>
      </c>
    </row>
    <row r="5" spans="1:8" ht="27.75" customHeight="1">
      <c r="A5" s="12">
        <v>1</v>
      </c>
      <c r="B5" s="12" t="s">
        <v>6</v>
      </c>
      <c r="C5" s="13"/>
      <c r="D5" s="14"/>
      <c r="E5" s="15"/>
      <c r="F5" s="16"/>
    </row>
    <row r="6" spans="1:8" ht="27.75" customHeight="1">
      <c r="A6" s="17" t="s">
        <v>7</v>
      </c>
      <c r="B6" s="18" t="s">
        <v>8</v>
      </c>
      <c r="C6" s="17" t="s">
        <v>9</v>
      </c>
      <c r="D6" s="19">
        <v>0</v>
      </c>
      <c r="E6" s="72">
        <v>6000000</v>
      </c>
      <c r="F6" s="20">
        <f>+D6*E6</f>
        <v>0</v>
      </c>
    </row>
    <row r="7" spans="1:8" ht="27.75" customHeight="1">
      <c r="A7" s="17" t="s">
        <v>10</v>
      </c>
      <c r="B7" s="18" t="s">
        <v>11</v>
      </c>
      <c r="C7" s="17" t="s">
        <v>9</v>
      </c>
      <c r="D7" s="19">
        <v>0</v>
      </c>
      <c r="E7" s="72">
        <v>7000000</v>
      </c>
      <c r="F7" s="20">
        <f>+D7*E7</f>
        <v>0</v>
      </c>
    </row>
    <row r="8" spans="1:8" ht="27.75" customHeight="1">
      <c r="A8" s="21"/>
      <c r="B8" s="156" t="s">
        <v>12</v>
      </c>
      <c r="C8" s="156"/>
      <c r="D8" s="156"/>
      <c r="E8" s="157"/>
      <c r="F8" s="67">
        <f>SUM(F6:F7)</f>
        <v>0</v>
      </c>
    </row>
    <row r="9" spans="1:8" s="28" customFormat="1" ht="27" customHeight="1">
      <c r="A9" s="25">
        <v>2</v>
      </c>
      <c r="B9" s="25" t="s">
        <v>87</v>
      </c>
      <c r="C9" s="26"/>
      <c r="D9" s="14"/>
      <c r="E9" s="27"/>
      <c r="F9" s="27"/>
    </row>
    <row r="10" spans="1:8" customFormat="1" ht="38.450000000000003" customHeight="1">
      <c r="A10" s="29" t="s">
        <v>50</v>
      </c>
      <c r="B10" s="30" t="s">
        <v>129</v>
      </c>
      <c r="C10" s="102" t="s">
        <v>64</v>
      </c>
      <c r="D10" s="96">
        <v>1</v>
      </c>
      <c r="E10" s="32">
        <v>200000</v>
      </c>
      <c r="F10" s="104">
        <f>E10*D10</f>
        <v>200000</v>
      </c>
      <c r="H10" s="103"/>
    </row>
    <row r="11" spans="1:8" s="28" customFormat="1" ht="27" customHeight="1">
      <c r="A11" s="161" t="s">
        <v>88</v>
      </c>
      <c r="B11" s="162"/>
      <c r="C11" s="162"/>
      <c r="D11" s="162"/>
      <c r="E11" s="163"/>
      <c r="F11" s="95">
        <f>SUM(F10)</f>
        <v>200000</v>
      </c>
    </row>
    <row r="12" spans="1:8" ht="27.75" customHeight="1">
      <c r="A12" s="12">
        <v>3</v>
      </c>
      <c r="B12" s="12" t="s">
        <v>13</v>
      </c>
      <c r="C12" s="13"/>
      <c r="D12" s="14"/>
      <c r="E12" s="15"/>
      <c r="F12" s="16"/>
    </row>
    <row r="13" spans="1:8" s="28" customFormat="1" ht="46.5" customHeight="1">
      <c r="A13" s="29" t="s">
        <v>18</v>
      </c>
      <c r="B13" s="30" t="s">
        <v>65</v>
      </c>
      <c r="C13" s="29" t="s">
        <v>20</v>
      </c>
      <c r="D13" s="31">
        <v>0.61</v>
      </c>
      <c r="E13" s="32">
        <v>300000</v>
      </c>
      <c r="F13" s="32">
        <f>E13*D13</f>
        <v>183000</v>
      </c>
    </row>
    <row r="14" spans="1:8" s="28" customFormat="1" ht="48.75" customHeight="1">
      <c r="A14" s="29" t="s">
        <v>21</v>
      </c>
      <c r="B14" s="30" t="s">
        <v>53</v>
      </c>
      <c r="C14" s="29" t="s">
        <v>20</v>
      </c>
      <c r="D14" s="31">
        <v>0.91600000000000004</v>
      </c>
      <c r="E14" s="32">
        <v>380000</v>
      </c>
      <c r="F14" s="32">
        <f t="shared" ref="F14:F16" si="0">+D14*E14</f>
        <v>348080</v>
      </c>
    </row>
    <row r="15" spans="1:8" s="28" customFormat="1" ht="48.75" customHeight="1">
      <c r="A15" s="29" t="s">
        <v>89</v>
      </c>
      <c r="B15" s="30" t="s">
        <v>54</v>
      </c>
      <c r="C15" s="29" t="s">
        <v>20</v>
      </c>
      <c r="D15" s="31">
        <v>1.63</v>
      </c>
      <c r="E15" s="32">
        <v>110000</v>
      </c>
      <c r="F15" s="32">
        <f t="shared" si="0"/>
        <v>179300</v>
      </c>
    </row>
    <row r="16" spans="1:8" ht="49.5" customHeight="1">
      <c r="A16" s="29" t="s">
        <v>91</v>
      </c>
      <c r="B16" s="22" t="s">
        <v>14</v>
      </c>
      <c r="C16" s="23" t="s">
        <v>15</v>
      </c>
      <c r="D16" s="31">
        <v>11.2</v>
      </c>
      <c r="E16" s="72">
        <v>25000</v>
      </c>
      <c r="F16" s="20">
        <f t="shared" si="0"/>
        <v>280000</v>
      </c>
    </row>
    <row r="17" spans="1:10" ht="21" customHeight="1">
      <c r="A17" s="21"/>
      <c r="B17" s="156" t="s">
        <v>16</v>
      </c>
      <c r="C17" s="156"/>
      <c r="D17" s="156"/>
      <c r="E17" s="157"/>
      <c r="F17" s="24">
        <f>SUM(F13:F16)</f>
        <v>990380</v>
      </c>
    </row>
    <row r="18" spans="1:10" s="28" customFormat="1" ht="30" customHeight="1">
      <c r="A18" s="25">
        <v>4</v>
      </c>
      <c r="B18" s="25" t="s">
        <v>17</v>
      </c>
      <c r="C18" s="26"/>
      <c r="D18" s="14"/>
      <c r="E18" s="27"/>
      <c r="F18" s="27"/>
    </row>
    <row r="19" spans="1:10" s="28" customFormat="1" ht="35.25" customHeight="1">
      <c r="A19" s="29" t="s">
        <v>61</v>
      </c>
      <c r="B19" s="30" t="s">
        <v>19</v>
      </c>
      <c r="C19" s="29" t="s">
        <v>20</v>
      </c>
      <c r="D19" s="31">
        <v>0.8</v>
      </c>
      <c r="E19" s="32">
        <v>600000</v>
      </c>
      <c r="F19" s="32">
        <f>+D19*E19</f>
        <v>480000</v>
      </c>
      <c r="I19" s="33"/>
    </row>
    <row r="20" spans="1:10" s="28" customFormat="1" ht="47.25" customHeight="1">
      <c r="A20" s="29" t="s">
        <v>62</v>
      </c>
      <c r="B20" s="30" t="s">
        <v>22</v>
      </c>
      <c r="C20" s="29" t="s">
        <v>23</v>
      </c>
      <c r="D20" s="31">
        <f>D19*90</f>
        <v>72</v>
      </c>
      <c r="E20" s="32">
        <v>12000</v>
      </c>
      <c r="F20" s="32">
        <f>+D20*E20</f>
        <v>864000</v>
      </c>
    </row>
    <row r="21" spans="1:10" s="28" customFormat="1" ht="40.5" customHeight="1">
      <c r="A21" s="29" t="s">
        <v>63</v>
      </c>
      <c r="B21" s="30" t="s">
        <v>25</v>
      </c>
      <c r="C21" s="29" t="s">
        <v>26</v>
      </c>
      <c r="D21" s="31">
        <f>D19*14.2</f>
        <v>11.36</v>
      </c>
      <c r="E21" s="32">
        <v>25000</v>
      </c>
      <c r="F21" s="32">
        <f>+D21*E21</f>
        <v>284000</v>
      </c>
    </row>
    <row r="22" spans="1:10" s="28" customFormat="1" ht="28.5" customHeight="1">
      <c r="A22" s="161" t="s">
        <v>27</v>
      </c>
      <c r="B22" s="162"/>
      <c r="C22" s="162"/>
      <c r="D22" s="162"/>
      <c r="E22" s="163"/>
      <c r="F22" s="35">
        <f>SUM(F19:F21)</f>
        <v>1628000</v>
      </c>
    </row>
    <row r="23" spans="1:10" s="28" customFormat="1" ht="15">
      <c r="A23" s="25">
        <v>5</v>
      </c>
      <c r="B23" s="43" t="s">
        <v>32</v>
      </c>
      <c r="C23" s="43"/>
      <c r="D23" s="14"/>
      <c r="E23" s="27"/>
      <c r="F23" s="27"/>
    </row>
    <row r="24" spans="1:10" s="28" customFormat="1" ht="28.5">
      <c r="A24" s="44" t="s">
        <v>33</v>
      </c>
      <c r="B24" s="63" t="s">
        <v>34</v>
      </c>
      <c r="C24" s="45" t="s">
        <v>30</v>
      </c>
      <c r="D24" s="34">
        <v>10.29</v>
      </c>
      <c r="E24" s="46">
        <v>43513.586869821607</v>
      </c>
      <c r="F24" s="32">
        <f>+D24*E24</f>
        <v>447754.80889046431</v>
      </c>
    </row>
    <row r="25" spans="1:10" s="28" customFormat="1" ht="42.75">
      <c r="A25" s="44" t="s">
        <v>35</v>
      </c>
      <c r="B25" s="63" t="s">
        <v>39</v>
      </c>
      <c r="C25" s="45" t="s">
        <v>30</v>
      </c>
      <c r="D25" s="34">
        <v>10.29</v>
      </c>
      <c r="E25" s="46">
        <v>28451.19141488336</v>
      </c>
      <c r="F25" s="32">
        <f>+D25*E25</f>
        <v>292762.75965914974</v>
      </c>
    </row>
    <row r="26" spans="1:10" customFormat="1" ht="34.5" customHeight="1">
      <c r="A26" s="44" t="s">
        <v>37</v>
      </c>
      <c r="B26" s="105" t="s">
        <v>77</v>
      </c>
      <c r="C26" s="69" t="s">
        <v>36</v>
      </c>
      <c r="D26" s="34">
        <v>16</v>
      </c>
      <c r="E26" s="70">
        <v>38492.788384842192</v>
      </c>
      <c r="F26" s="71">
        <f>+D26*E26</f>
        <v>615884.61415747507</v>
      </c>
    </row>
    <row r="27" spans="1:10" customFormat="1" ht="34.5" customHeight="1">
      <c r="A27" s="44" t="s">
        <v>37</v>
      </c>
      <c r="B27" s="105" t="s">
        <v>130</v>
      </c>
      <c r="C27" s="69" t="s">
        <v>36</v>
      </c>
      <c r="D27" s="34">
        <v>8</v>
      </c>
      <c r="E27" s="70">
        <v>25000</v>
      </c>
      <c r="F27" s="71">
        <f>+D27*E27</f>
        <v>200000</v>
      </c>
    </row>
    <row r="28" spans="1:10" s="28" customFormat="1" ht="30" customHeight="1">
      <c r="A28" s="44" t="s">
        <v>38</v>
      </c>
      <c r="B28" s="63" t="s">
        <v>75</v>
      </c>
      <c r="C28" s="45" t="s">
        <v>36</v>
      </c>
      <c r="D28" s="34">
        <v>8</v>
      </c>
      <c r="E28" s="91">
        <v>87863.973487139781</v>
      </c>
      <c r="F28" s="92">
        <f>E28*D28</f>
        <v>702911.78789711825</v>
      </c>
      <c r="G28" s="90"/>
      <c r="J28" s="89"/>
    </row>
    <row r="29" spans="1:10" s="28" customFormat="1" ht="21" customHeight="1">
      <c r="A29" s="161" t="s">
        <v>40</v>
      </c>
      <c r="B29" s="162"/>
      <c r="C29" s="162"/>
      <c r="D29" s="162"/>
      <c r="E29" s="163"/>
      <c r="F29" s="35">
        <f>SUM(F28:F28)</f>
        <v>702911.78789711825</v>
      </c>
    </row>
    <row r="30" spans="1:10" ht="20.25" customHeight="1">
      <c r="A30" s="12">
        <v>6</v>
      </c>
      <c r="B30" s="36" t="s">
        <v>28</v>
      </c>
      <c r="C30" s="36"/>
      <c r="D30" s="37"/>
      <c r="E30" s="38"/>
      <c r="F30" s="16"/>
    </row>
    <row r="31" spans="1:10" ht="28.5">
      <c r="A31" s="39" t="s">
        <v>55</v>
      </c>
      <c r="B31" s="61" t="s">
        <v>188</v>
      </c>
      <c r="C31" s="40" t="s">
        <v>30</v>
      </c>
      <c r="D31" s="41">
        <v>7.64</v>
      </c>
      <c r="E31" s="42">
        <v>50000</v>
      </c>
      <c r="F31" s="20">
        <f>+D31*E31</f>
        <v>382000</v>
      </c>
    </row>
    <row r="32" spans="1:10" ht="42.75">
      <c r="A32" s="39" t="s">
        <v>56</v>
      </c>
      <c r="B32" s="62" t="s">
        <v>29</v>
      </c>
      <c r="C32" s="40" t="s">
        <v>30</v>
      </c>
      <c r="D32" s="41">
        <v>95.08</v>
      </c>
      <c r="E32" s="42">
        <v>25000</v>
      </c>
      <c r="F32" s="20">
        <f>+D32*E32</f>
        <v>2377000</v>
      </c>
    </row>
    <row r="33" spans="1:18" ht="42.75">
      <c r="A33" s="121">
        <v>6.3</v>
      </c>
      <c r="B33" s="123" t="s">
        <v>185</v>
      </c>
      <c r="C33" s="124" t="s">
        <v>30</v>
      </c>
      <c r="D33" s="125">
        <f>D38*0.3</f>
        <v>3.36</v>
      </c>
      <c r="E33" s="126">
        <v>10000</v>
      </c>
      <c r="F33" s="122">
        <f>D33*E33</f>
        <v>33600</v>
      </c>
    </row>
    <row r="34" spans="1:18" ht="21" customHeight="1">
      <c r="A34" s="21"/>
      <c r="B34" s="167" t="s">
        <v>31</v>
      </c>
      <c r="C34" s="167"/>
      <c r="D34" s="167"/>
      <c r="E34" s="168"/>
      <c r="F34" s="24">
        <f>SUM(F31:F33)</f>
        <v>2792600</v>
      </c>
    </row>
    <row r="35" spans="1:18" ht="19.5" customHeight="1">
      <c r="A35" s="12">
        <v>7</v>
      </c>
      <c r="B35" s="36" t="s">
        <v>41</v>
      </c>
      <c r="C35" s="36"/>
      <c r="D35" s="37"/>
      <c r="E35" s="38"/>
      <c r="F35" s="16"/>
    </row>
    <row r="36" spans="1:18" ht="27.75" customHeight="1">
      <c r="A36" s="39" t="s">
        <v>59</v>
      </c>
      <c r="B36" s="61" t="s">
        <v>42</v>
      </c>
      <c r="C36" s="40" t="s">
        <v>30</v>
      </c>
      <c r="D36" s="41">
        <f>D37</f>
        <v>57.047999999999995</v>
      </c>
      <c r="E36" s="47">
        <v>9000</v>
      </c>
      <c r="F36" s="20">
        <f>+D36*E36</f>
        <v>513431.99999999994</v>
      </c>
    </row>
    <row r="37" spans="1:18" ht="26.25" customHeight="1">
      <c r="A37" s="39" t="s">
        <v>60</v>
      </c>
      <c r="B37" s="61" t="s">
        <v>43</v>
      </c>
      <c r="C37" s="40" t="s">
        <v>30</v>
      </c>
      <c r="D37" s="41">
        <f>D32*0.6</f>
        <v>57.047999999999995</v>
      </c>
      <c r="E37" s="47">
        <v>8000</v>
      </c>
      <c r="F37" s="20">
        <f>+D37*E37</f>
        <v>456383.99999999994</v>
      </c>
      <c r="I37" s="48"/>
    </row>
    <row r="38" spans="1:18" ht="27.75" customHeight="1">
      <c r="A38" s="39" t="s">
        <v>80</v>
      </c>
      <c r="B38" s="61" t="s">
        <v>44</v>
      </c>
      <c r="C38" s="40" t="s">
        <v>30</v>
      </c>
      <c r="D38" s="41">
        <f>D16</f>
        <v>11.2</v>
      </c>
      <c r="E38" s="47">
        <v>8000</v>
      </c>
      <c r="F38" s="20">
        <f>+D38*E38</f>
        <v>89600</v>
      </c>
    </row>
    <row r="39" spans="1:18" ht="27.75" customHeight="1">
      <c r="A39" s="39">
        <v>7.5</v>
      </c>
      <c r="B39" s="61" t="s">
        <v>157</v>
      </c>
      <c r="C39" s="40" t="s">
        <v>30</v>
      </c>
      <c r="D39" s="41">
        <f>D16</f>
        <v>11.2</v>
      </c>
      <c r="E39" s="47">
        <v>15000</v>
      </c>
      <c r="F39" s="20">
        <f>D39*E39</f>
        <v>168000</v>
      </c>
    </row>
    <row r="40" spans="1:18" ht="36" customHeight="1">
      <c r="A40" s="39" t="s">
        <v>81</v>
      </c>
      <c r="B40" s="61" t="s">
        <v>127</v>
      </c>
      <c r="C40" s="40" t="s">
        <v>30</v>
      </c>
      <c r="D40" s="41">
        <v>19.53</v>
      </c>
      <c r="E40" s="42">
        <v>15000</v>
      </c>
      <c r="F40" s="20">
        <f>+D40*E40</f>
        <v>292950</v>
      </c>
    </row>
    <row r="41" spans="1:18" s="28" customFormat="1" ht="18" customHeight="1">
      <c r="A41" s="169" t="s">
        <v>45</v>
      </c>
      <c r="B41" s="170"/>
      <c r="C41" s="170"/>
      <c r="D41" s="170"/>
      <c r="E41" s="171"/>
      <c r="F41" s="35">
        <f>SUM(F36:F40)</f>
        <v>1520366</v>
      </c>
    </row>
    <row r="42" spans="1:18" ht="17.25" customHeight="1">
      <c r="A42" s="12">
        <v>8</v>
      </c>
      <c r="B42" s="36" t="s">
        <v>46</v>
      </c>
      <c r="C42" s="36"/>
      <c r="D42" s="37"/>
      <c r="E42" s="38"/>
      <c r="F42" s="16"/>
    </row>
    <row r="43" spans="1:18" s="53" customFormat="1" ht="22.5" customHeight="1">
      <c r="A43" s="49" t="s">
        <v>82</v>
      </c>
      <c r="B43" s="64" t="s">
        <v>146</v>
      </c>
      <c r="C43" s="50" t="s">
        <v>2</v>
      </c>
      <c r="D43" s="51">
        <v>6</v>
      </c>
      <c r="E43" s="52">
        <v>750000</v>
      </c>
      <c r="F43" s="59">
        <f>SUM(D43*E43)</f>
        <v>4500000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60"/>
    </row>
    <row r="44" spans="1:18" s="28" customFormat="1" ht="24" customHeight="1">
      <c r="A44" s="161" t="s">
        <v>47</v>
      </c>
      <c r="B44" s="176"/>
      <c r="C44" s="176"/>
      <c r="D44" s="176"/>
      <c r="E44" s="177"/>
      <c r="F44" s="137">
        <f>SUM(F43:F43)</f>
        <v>4500000</v>
      </c>
    </row>
    <row r="45" spans="1:18" s="28" customFormat="1" ht="24" customHeight="1">
      <c r="A45" s="25">
        <v>9</v>
      </c>
      <c r="B45" s="43" t="s">
        <v>92</v>
      </c>
      <c r="C45" s="43"/>
      <c r="D45" s="14"/>
      <c r="E45" s="27"/>
      <c r="F45" s="27"/>
    </row>
    <row r="46" spans="1:18" s="28" customFormat="1" ht="24" customHeight="1">
      <c r="A46" s="44" t="s">
        <v>97</v>
      </c>
      <c r="B46" s="63" t="s">
        <v>147</v>
      </c>
      <c r="C46" s="45" t="s">
        <v>2</v>
      </c>
      <c r="D46" s="97">
        <v>1</v>
      </c>
      <c r="E46" s="93">
        <v>800000</v>
      </c>
      <c r="F46" s="32">
        <f t="shared" ref="F46" si="1">+D46*E46</f>
        <v>800000</v>
      </c>
    </row>
    <row r="47" spans="1:18" s="28" customFormat="1" ht="26.25" customHeight="1">
      <c r="A47" s="44" t="s">
        <v>98</v>
      </c>
      <c r="B47" s="63" t="s">
        <v>131</v>
      </c>
      <c r="C47" s="45" t="s">
        <v>2</v>
      </c>
      <c r="D47" s="97">
        <v>6</v>
      </c>
      <c r="E47" s="93">
        <v>20000</v>
      </c>
      <c r="F47" s="32">
        <f t="shared" ref="F47:F48" si="2">+D47*E47</f>
        <v>120000</v>
      </c>
    </row>
    <row r="48" spans="1:18" s="28" customFormat="1" ht="22.5" customHeight="1">
      <c r="A48" s="44" t="s">
        <v>99</v>
      </c>
      <c r="B48" s="63" t="s">
        <v>94</v>
      </c>
      <c r="C48" s="45" t="s">
        <v>2</v>
      </c>
      <c r="D48" s="97">
        <v>6</v>
      </c>
      <c r="E48" s="93">
        <v>20000</v>
      </c>
      <c r="F48" s="32">
        <f t="shared" si="2"/>
        <v>120000</v>
      </c>
    </row>
    <row r="49" spans="1:6" s="28" customFormat="1" ht="21.75" customHeight="1">
      <c r="A49" s="44" t="s">
        <v>100</v>
      </c>
      <c r="B49" s="63" t="s">
        <v>119</v>
      </c>
      <c r="C49" s="100" t="s">
        <v>36</v>
      </c>
      <c r="D49" s="97">
        <v>25</v>
      </c>
      <c r="E49" s="93">
        <v>6000</v>
      </c>
      <c r="F49" s="32">
        <f t="shared" ref="F49:F50" si="3">+E49*D49</f>
        <v>150000</v>
      </c>
    </row>
    <row r="50" spans="1:6" s="28" customFormat="1" ht="21" customHeight="1">
      <c r="A50" s="44" t="s">
        <v>105</v>
      </c>
      <c r="B50" s="63" t="s">
        <v>108</v>
      </c>
      <c r="C50" s="100" t="s">
        <v>36</v>
      </c>
      <c r="D50" s="97">
        <f>D49</f>
        <v>25</v>
      </c>
      <c r="E50" s="93">
        <v>3000</v>
      </c>
      <c r="F50" s="32">
        <f t="shared" si="3"/>
        <v>75000</v>
      </c>
    </row>
    <row r="51" spans="1:6" s="28" customFormat="1" ht="15">
      <c r="A51" s="161" t="s">
        <v>96</v>
      </c>
      <c r="B51" s="162"/>
      <c r="C51" s="162"/>
      <c r="D51" s="162"/>
      <c r="E51" s="163"/>
      <c r="F51" s="95">
        <f>SUM(F45:F50)</f>
        <v>1265000</v>
      </c>
    </row>
    <row r="52" spans="1:6" s="28" customFormat="1" ht="38.25" customHeight="1">
      <c r="A52" s="25">
        <v>10</v>
      </c>
      <c r="B52" s="25" t="s">
        <v>78</v>
      </c>
      <c r="C52" s="26"/>
      <c r="D52" s="14"/>
      <c r="E52" s="27"/>
      <c r="F52" s="27"/>
    </row>
    <row r="53" spans="1:6" s="28" customFormat="1" ht="20.25" customHeight="1">
      <c r="A53" s="29" t="s">
        <v>101</v>
      </c>
      <c r="B53" s="30" t="s">
        <v>138</v>
      </c>
      <c r="C53" s="94" t="s">
        <v>30</v>
      </c>
      <c r="D53" s="31">
        <v>12.25</v>
      </c>
      <c r="E53" s="32">
        <v>95000</v>
      </c>
      <c r="F53" s="32">
        <f t="shared" ref="F53" si="4">+D53*E53</f>
        <v>1163750</v>
      </c>
    </row>
    <row r="54" spans="1:6" s="28" customFormat="1" ht="15">
      <c r="A54" s="169" t="s">
        <v>79</v>
      </c>
      <c r="B54" s="170"/>
      <c r="C54" s="170"/>
      <c r="D54" s="170"/>
      <c r="E54" s="171"/>
      <c r="F54" s="35">
        <f>SUM(F53)</f>
        <v>1163750</v>
      </c>
    </row>
    <row r="55" spans="1:6" s="28" customFormat="1" ht="33.75" customHeight="1">
      <c r="A55" s="25">
        <v>11</v>
      </c>
      <c r="B55" s="43" t="s">
        <v>137</v>
      </c>
      <c r="C55" s="43"/>
      <c r="D55" s="14"/>
      <c r="E55" s="27"/>
      <c r="F55" s="27"/>
    </row>
    <row r="56" spans="1:6" s="28" customFormat="1" ht="33.75" customHeight="1">
      <c r="A56" s="44" t="s">
        <v>103</v>
      </c>
      <c r="B56" s="63" t="s">
        <v>132</v>
      </c>
      <c r="C56" s="45" t="s">
        <v>2</v>
      </c>
      <c r="D56" s="97">
        <v>2</v>
      </c>
      <c r="E56" s="93">
        <v>700000</v>
      </c>
      <c r="F56" s="32">
        <f t="shared" ref="F56:F59" si="5">+D56*E56</f>
        <v>1400000</v>
      </c>
    </row>
    <row r="57" spans="1:6" s="28" customFormat="1" ht="33.75" customHeight="1">
      <c r="A57" s="44" t="s">
        <v>133</v>
      </c>
      <c r="B57" s="63" t="s">
        <v>139</v>
      </c>
      <c r="C57" s="45" t="s">
        <v>2</v>
      </c>
      <c r="D57" s="97">
        <v>4</v>
      </c>
      <c r="E57" s="93">
        <v>250000</v>
      </c>
      <c r="F57" s="32">
        <f t="shared" ref="F57" si="6">+D57*E57</f>
        <v>1000000</v>
      </c>
    </row>
    <row r="58" spans="1:6" s="28" customFormat="1" ht="33.75" customHeight="1">
      <c r="A58" s="44" t="s">
        <v>104</v>
      </c>
      <c r="B58" s="63" t="s">
        <v>136</v>
      </c>
      <c r="C58" s="45" t="s">
        <v>64</v>
      </c>
      <c r="D58" s="97">
        <v>1</v>
      </c>
      <c r="E58" s="93">
        <v>3500000</v>
      </c>
      <c r="F58" s="32">
        <f t="shared" si="5"/>
        <v>3500000</v>
      </c>
    </row>
    <row r="59" spans="1:6" s="28" customFormat="1" ht="33.75" customHeight="1">
      <c r="A59" s="44" t="s">
        <v>134</v>
      </c>
      <c r="B59" s="63" t="s">
        <v>111</v>
      </c>
      <c r="C59" s="45" t="s">
        <v>64</v>
      </c>
      <c r="D59" s="97">
        <v>1</v>
      </c>
      <c r="E59" s="93">
        <v>3000000</v>
      </c>
      <c r="F59" s="32">
        <f t="shared" si="5"/>
        <v>3000000</v>
      </c>
    </row>
    <row r="60" spans="1:6" s="28" customFormat="1" ht="26.25" customHeight="1">
      <c r="A60" s="44" t="s">
        <v>135</v>
      </c>
      <c r="B60" s="63" t="s">
        <v>110</v>
      </c>
      <c r="C60" s="45" t="s">
        <v>64</v>
      </c>
      <c r="D60" s="97">
        <v>1</v>
      </c>
      <c r="E60" s="93">
        <v>1000000</v>
      </c>
      <c r="F60" s="32">
        <f t="shared" ref="F60" si="7">+D60*E60</f>
        <v>1000000</v>
      </c>
    </row>
    <row r="61" spans="1:6" ht="24.75" customHeight="1">
      <c r="A61" s="161" t="s">
        <v>102</v>
      </c>
      <c r="B61" s="162"/>
      <c r="C61" s="162"/>
      <c r="D61" s="162"/>
      <c r="E61" s="163"/>
      <c r="F61" s="95">
        <f>SUM(F55:F60)</f>
        <v>9900000</v>
      </c>
    </row>
    <row r="62" spans="1:6" ht="15">
      <c r="A62" s="154"/>
      <c r="B62" s="155"/>
      <c r="C62" s="164" t="s">
        <v>120</v>
      </c>
      <c r="D62" s="165"/>
      <c r="E62" s="166"/>
      <c r="F62" s="110">
        <f>SUM(F44+F17+F8+F29+F22+F41+F61+F54+F51+F34+F11)</f>
        <v>24663007.787897117</v>
      </c>
    </row>
    <row r="63" spans="1:6" ht="28.15" customHeight="1">
      <c r="A63" s="54"/>
      <c r="B63" s="65"/>
      <c r="C63" s="55"/>
      <c r="D63" s="98"/>
      <c r="E63" s="55"/>
      <c r="F63" s="56"/>
    </row>
    <row r="64" spans="1:6" ht="15">
      <c r="A64" s="54"/>
      <c r="B64" s="160"/>
      <c r="C64" s="160"/>
      <c r="D64" s="160"/>
      <c r="E64" s="160"/>
      <c r="F64" s="56"/>
    </row>
    <row r="65" spans="1:6" ht="17.25">
      <c r="A65" s="150" t="s">
        <v>159</v>
      </c>
      <c r="B65" s="151"/>
      <c r="C65" s="151"/>
    </row>
    <row r="66" spans="1:6">
      <c r="A66" s="127" t="s">
        <v>0</v>
      </c>
      <c r="B66" s="128" t="s">
        <v>160</v>
      </c>
      <c r="C66" s="127" t="s">
        <v>71</v>
      </c>
      <c r="D66" s="99"/>
      <c r="E66" s="57"/>
      <c r="F66" s="58" t="s">
        <v>48</v>
      </c>
    </row>
    <row r="67" spans="1:6">
      <c r="A67" s="129">
        <v>1</v>
      </c>
      <c r="B67" s="129" t="s">
        <v>6</v>
      </c>
      <c r="C67" s="130">
        <f>F8</f>
        <v>0</v>
      </c>
    </row>
    <row r="68" spans="1:6">
      <c r="A68" s="129">
        <v>2</v>
      </c>
      <c r="B68" s="129" t="s">
        <v>87</v>
      </c>
      <c r="C68" s="130">
        <f>F11</f>
        <v>200000</v>
      </c>
    </row>
    <row r="69" spans="1:6">
      <c r="A69" s="129">
        <v>3</v>
      </c>
      <c r="B69" s="129" t="s">
        <v>161</v>
      </c>
      <c r="C69" s="130">
        <f>F17</f>
        <v>990380</v>
      </c>
    </row>
    <row r="70" spans="1:6">
      <c r="A70" s="129">
        <v>4</v>
      </c>
      <c r="B70" s="129" t="s">
        <v>162</v>
      </c>
      <c r="C70" s="130">
        <f>F22</f>
        <v>1628000</v>
      </c>
    </row>
    <row r="71" spans="1:6">
      <c r="A71" s="129">
        <v>5</v>
      </c>
      <c r="B71" s="129" t="s">
        <v>163</v>
      </c>
      <c r="C71" s="130">
        <f>F29</f>
        <v>702911.78789711825</v>
      </c>
    </row>
    <row r="72" spans="1:6">
      <c r="A72" s="129">
        <v>6</v>
      </c>
      <c r="B72" s="129" t="s">
        <v>164</v>
      </c>
      <c r="C72" s="130">
        <f>F34</f>
        <v>2792600</v>
      </c>
    </row>
    <row r="73" spans="1:6">
      <c r="A73" s="129">
        <v>7</v>
      </c>
      <c r="B73" s="129" t="s">
        <v>41</v>
      </c>
      <c r="C73" s="130">
        <f>F41</f>
        <v>1520366</v>
      </c>
    </row>
    <row r="74" spans="1:6">
      <c r="A74" s="129">
        <v>8</v>
      </c>
      <c r="B74" s="129" t="s">
        <v>165</v>
      </c>
      <c r="C74" s="130">
        <f>F44</f>
        <v>4500000</v>
      </c>
    </row>
    <row r="75" spans="1:6">
      <c r="A75" s="129">
        <v>9</v>
      </c>
      <c r="B75" s="129" t="s">
        <v>92</v>
      </c>
      <c r="C75" s="130">
        <f>F51</f>
        <v>1265000</v>
      </c>
    </row>
    <row r="76" spans="1:6">
      <c r="A76" s="129">
        <v>10</v>
      </c>
      <c r="B76" s="129" t="s">
        <v>78</v>
      </c>
      <c r="C76" s="130">
        <f>F54</f>
        <v>1163750</v>
      </c>
    </row>
    <row r="77" spans="1:6">
      <c r="A77" s="129">
        <v>11</v>
      </c>
      <c r="B77" s="129" t="s">
        <v>137</v>
      </c>
      <c r="C77" s="130">
        <f>F61</f>
        <v>9900000</v>
      </c>
    </row>
    <row r="78" spans="1:6" ht="15">
      <c r="A78" s="152" t="s">
        <v>166</v>
      </c>
      <c r="B78" s="153"/>
      <c r="C78" s="131">
        <f>SUM(C67:C77)</f>
        <v>24663007.787897117</v>
      </c>
    </row>
    <row r="80" spans="1:6" ht="15">
      <c r="A80" s="148" t="s">
        <v>193</v>
      </c>
    </row>
  </sheetData>
  <mergeCells count="18">
    <mergeCell ref="A54:E54"/>
    <mergeCell ref="A22:E22"/>
    <mergeCell ref="B2:F2"/>
    <mergeCell ref="B3:F3"/>
    <mergeCell ref="B8:E8"/>
    <mergeCell ref="A11:E11"/>
    <mergeCell ref="B17:E17"/>
    <mergeCell ref="A29:E29"/>
    <mergeCell ref="B34:E34"/>
    <mergeCell ref="A41:E41"/>
    <mergeCell ref="A44:E44"/>
    <mergeCell ref="A51:E51"/>
    <mergeCell ref="A65:C65"/>
    <mergeCell ref="A78:B78"/>
    <mergeCell ref="A61:E61"/>
    <mergeCell ref="A62:B62"/>
    <mergeCell ref="C62:E62"/>
    <mergeCell ref="B64:E64"/>
  </mergeCells>
  <printOptions horizontalCentered="1"/>
  <pageMargins left="0.25" right="0.25" top="0.75" bottom="0.75" header="0.3" footer="0.3"/>
  <pageSetup paperSize="9" scale="31" fitToHeight="0" orientation="portrait" r:id="rId1"/>
  <headerFooter>
    <oddFooter>Page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8"/>
  <sheetViews>
    <sheetView topLeftCell="A3" zoomScale="86" zoomScaleNormal="86" workbookViewId="0">
      <selection activeCell="A16" sqref="A16:F16"/>
    </sheetView>
  </sheetViews>
  <sheetFormatPr baseColWidth="10" defaultColWidth="9.28515625" defaultRowHeight="14.25"/>
  <cols>
    <col min="1" max="1" width="6.7109375" style="1" customWidth="1"/>
    <col min="2" max="2" width="79.5703125" style="1" customWidth="1"/>
    <col min="3" max="3" width="7.42578125" style="3" customWidth="1"/>
    <col min="4" max="4" width="24.28515625" style="3" customWidth="1"/>
    <col min="5" max="5" width="20" style="2" customWidth="1"/>
    <col min="6" max="6" width="35.7109375" style="4" customWidth="1"/>
    <col min="7" max="7" width="12" style="5" customWidth="1"/>
    <col min="8" max="8" width="9.28515625" style="5" customWidth="1"/>
    <col min="9" max="9" width="23.7109375" style="5" customWidth="1"/>
    <col min="10" max="10" width="9.28515625" style="5" customWidth="1"/>
    <col min="11" max="11" width="12.42578125" style="5" customWidth="1"/>
    <col min="12" max="16384" width="9.28515625" style="5"/>
  </cols>
  <sheetData>
    <row r="1" spans="1:18" ht="75" customHeight="1"/>
    <row r="2" spans="1:18" ht="44.25" customHeight="1">
      <c r="A2" s="6"/>
      <c r="B2" s="158" t="s">
        <v>123</v>
      </c>
      <c r="C2" s="158"/>
      <c r="D2" s="158"/>
      <c r="E2" s="158"/>
      <c r="F2" s="159"/>
    </row>
    <row r="3" spans="1:18" ht="36" customHeight="1">
      <c r="A3" s="6"/>
      <c r="B3" s="158" t="s">
        <v>145</v>
      </c>
      <c r="C3" s="158"/>
      <c r="D3" s="158"/>
      <c r="E3" s="158"/>
      <c r="F3" s="159"/>
    </row>
    <row r="4" spans="1:18" s="11" customFormat="1" ht="30" customHeight="1">
      <c r="A4" s="7"/>
      <c r="B4" s="8" t="s">
        <v>1</v>
      </c>
      <c r="C4" s="7" t="s">
        <v>2</v>
      </c>
      <c r="D4" s="9" t="s">
        <v>3</v>
      </c>
      <c r="E4" s="9" t="s">
        <v>4</v>
      </c>
      <c r="F4" s="10" t="s">
        <v>5</v>
      </c>
    </row>
    <row r="5" spans="1:18" ht="22.5" customHeight="1">
      <c r="A5" s="12">
        <v>1</v>
      </c>
      <c r="B5" s="36" t="s">
        <v>46</v>
      </c>
      <c r="C5" s="36"/>
      <c r="D5" s="37"/>
      <c r="E5" s="38"/>
      <c r="F5" s="16"/>
    </row>
    <row r="6" spans="1:18" s="53" customFormat="1" ht="22.5" customHeight="1">
      <c r="A6" s="49" t="s">
        <v>7</v>
      </c>
      <c r="B6" s="64" t="s">
        <v>186</v>
      </c>
      <c r="C6" s="50" t="s">
        <v>49</v>
      </c>
      <c r="D6" s="51">
        <v>1</v>
      </c>
      <c r="E6" s="52">
        <v>900000</v>
      </c>
      <c r="F6" s="59">
        <f>SUM(D6*E6)</f>
        <v>900000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0"/>
    </row>
    <row r="7" spans="1:18" s="53" customFormat="1" ht="23.25" customHeight="1">
      <c r="A7" s="49" t="s">
        <v>10</v>
      </c>
      <c r="B7" s="64" t="s">
        <v>86</v>
      </c>
      <c r="C7" s="50" t="s">
        <v>49</v>
      </c>
      <c r="D7" s="51">
        <v>1</v>
      </c>
      <c r="E7" s="52">
        <v>600000</v>
      </c>
      <c r="F7" s="59">
        <f>SUM(D7*E7)</f>
        <v>600000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0"/>
    </row>
    <row r="8" spans="1:18" s="28" customFormat="1" ht="15">
      <c r="A8" s="161" t="s">
        <v>47</v>
      </c>
      <c r="B8" s="162"/>
      <c r="C8" s="162"/>
      <c r="D8" s="162"/>
      <c r="E8" s="163"/>
      <c r="F8" s="68">
        <f>SUM(F6:F7)</f>
        <v>1500000</v>
      </c>
    </row>
    <row r="9" spans="1:18" s="28" customFormat="1" ht="27.75" customHeight="1">
      <c r="A9" s="25">
        <v>2</v>
      </c>
      <c r="B9" s="43" t="s">
        <v>92</v>
      </c>
      <c r="C9" s="43"/>
      <c r="D9" s="14"/>
      <c r="E9" s="27"/>
      <c r="F9" s="27"/>
    </row>
    <row r="10" spans="1:18" s="28" customFormat="1" ht="22.5" customHeight="1">
      <c r="A10" s="44" t="s">
        <v>50</v>
      </c>
      <c r="B10" s="63" t="s">
        <v>147</v>
      </c>
      <c r="C10" s="45" t="s">
        <v>2</v>
      </c>
      <c r="D10" s="97">
        <v>1</v>
      </c>
      <c r="E10" s="93">
        <v>800000</v>
      </c>
      <c r="F10" s="32">
        <f t="shared" ref="F10" si="0">+D10*E10</f>
        <v>800000</v>
      </c>
    </row>
    <row r="11" spans="1:18" s="28" customFormat="1" ht="30" customHeight="1">
      <c r="A11" s="44" t="s">
        <v>51</v>
      </c>
      <c r="B11" s="63" t="s">
        <v>148</v>
      </c>
      <c r="C11" s="100" t="s">
        <v>36</v>
      </c>
      <c r="D11" s="97">
        <v>150</v>
      </c>
      <c r="E11" s="93">
        <v>15000</v>
      </c>
      <c r="F11" s="32">
        <f t="shared" ref="F11:F12" si="1">+E11*D11</f>
        <v>2250000</v>
      </c>
    </row>
    <row r="12" spans="1:18" s="28" customFormat="1" ht="21" customHeight="1">
      <c r="A12" s="44" t="s">
        <v>52</v>
      </c>
      <c r="B12" s="63" t="s">
        <v>150</v>
      </c>
      <c r="C12" s="100" t="s">
        <v>36</v>
      </c>
      <c r="D12" s="97">
        <v>150</v>
      </c>
      <c r="E12" s="93">
        <v>10000</v>
      </c>
      <c r="F12" s="32">
        <f t="shared" si="1"/>
        <v>1500000</v>
      </c>
    </row>
    <row r="13" spans="1:18" ht="24.75" customHeight="1">
      <c r="A13" s="161" t="s">
        <v>96</v>
      </c>
      <c r="B13" s="162"/>
      <c r="C13" s="162"/>
      <c r="D13" s="162"/>
      <c r="E13" s="163"/>
      <c r="F13" s="95">
        <f>SUM(F10:F12)</f>
        <v>4550000</v>
      </c>
    </row>
    <row r="14" spans="1:18" ht="20.25" customHeight="1">
      <c r="A14" s="154"/>
      <c r="B14" s="155"/>
      <c r="C14" s="164" t="s">
        <v>120</v>
      </c>
      <c r="D14" s="165"/>
      <c r="E14" s="166"/>
      <c r="F14" s="110">
        <f>SUM(F8+F13)</f>
        <v>6050000</v>
      </c>
    </row>
    <row r="15" spans="1:18" ht="28.15" customHeight="1">
      <c r="A15" s="54"/>
      <c r="B15" s="65"/>
      <c r="C15" s="55"/>
      <c r="D15" s="98"/>
      <c r="E15" s="55"/>
      <c r="F15" s="56"/>
    </row>
    <row r="16" spans="1:18" ht="30" customHeight="1">
      <c r="A16" s="178" t="s">
        <v>189</v>
      </c>
      <c r="B16" s="178"/>
      <c r="C16" s="178"/>
      <c r="D16" s="178"/>
      <c r="E16" s="178"/>
      <c r="F16" s="178"/>
    </row>
    <row r="18" spans="1:6">
      <c r="A18" s="57"/>
      <c r="B18" s="66"/>
      <c r="C18" s="57"/>
      <c r="D18" s="99"/>
      <c r="E18" s="57"/>
      <c r="F18" s="58" t="s">
        <v>48</v>
      </c>
    </row>
  </sheetData>
  <mergeCells count="7">
    <mergeCell ref="A16:F16"/>
    <mergeCell ref="A8:E8"/>
    <mergeCell ref="A14:B14"/>
    <mergeCell ref="C14:E14"/>
    <mergeCell ref="B2:F2"/>
    <mergeCell ref="B3:F3"/>
    <mergeCell ref="A13:E13"/>
  </mergeCells>
  <printOptions horizontalCentered="1"/>
  <pageMargins left="0.25" right="0.25" top="0.75" bottom="0.75" header="0.3" footer="0.3"/>
  <pageSetup paperSize="9" scale="31" fitToHeight="0" orientation="portrait" r:id="rId1"/>
  <headerFooter>
    <oddFooter>Page &amp;P de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77"/>
  <sheetViews>
    <sheetView topLeftCell="A56" zoomScale="86" zoomScaleNormal="86" workbookViewId="0">
      <selection activeCell="E53" sqref="E53"/>
    </sheetView>
  </sheetViews>
  <sheetFormatPr baseColWidth="10" defaultColWidth="9.28515625" defaultRowHeight="14.25"/>
  <cols>
    <col min="1" max="1" width="6.7109375" style="1" customWidth="1"/>
    <col min="2" max="2" width="88.7109375" style="1" customWidth="1"/>
    <col min="3" max="3" width="14.42578125" style="3" customWidth="1"/>
    <col min="4" max="4" width="24.28515625" style="3" customWidth="1"/>
    <col min="5" max="5" width="20" style="2" customWidth="1"/>
    <col min="6" max="6" width="35.7109375" style="4" customWidth="1"/>
    <col min="7" max="7" width="12" style="5" customWidth="1"/>
    <col min="8" max="8" width="9.28515625" style="5" customWidth="1"/>
    <col min="9" max="9" width="23.7109375" style="5" customWidth="1"/>
    <col min="10" max="10" width="9.28515625" style="5" customWidth="1"/>
    <col min="11" max="11" width="12.42578125" style="5" customWidth="1"/>
    <col min="12" max="16384" width="9.28515625" style="5"/>
  </cols>
  <sheetData>
    <row r="1" spans="1:9" ht="75" customHeight="1"/>
    <row r="2" spans="1:9" ht="44.25" customHeight="1">
      <c r="A2" s="6"/>
      <c r="B2" s="158" t="s">
        <v>114</v>
      </c>
      <c r="C2" s="158"/>
      <c r="D2" s="158"/>
      <c r="E2" s="158"/>
      <c r="F2" s="159"/>
    </row>
    <row r="3" spans="1:9" ht="30.75" customHeight="1">
      <c r="A3" s="6"/>
      <c r="B3" s="158" t="s">
        <v>115</v>
      </c>
      <c r="C3" s="158"/>
      <c r="D3" s="158"/>
      <c r="E3" s="158"/>
      <c r="F3" s="159"/>
    </row>
    <row r="4" spans="1:9" s="11" customFormat="1" ht="27.75" customHeight="1">
      <c r="A4" s="7" t="s">
        <v>0</v>
      </c>
      <c r="B4" s="8" t="s">
        <v>1</v>
      </c>
      <c r="C4" s="7" t="s">
        <v>2</v>
      </c>
      <c r="D4" s="9" t="s">
        <v>3</v>
      </c>
      <c r="E4" s="9" t="s">
        <v>4</v>
      </c>
      <c r="F4" s="10" t="s">
        <v>5</v>
      </c>
    </row>
    <row r="5" spans="1:9" ht="27.75" customHeight="1">
      <c r="A5" s="12">
        <v>1</v>
      </c>
      <c r="B5" s="12" t="s">
        <v>6</v>
      </c>
      <c r="C5" s="13"/>
      <c r="D5" s="14"/>
      <c r="E5" s="15"/>
      <c r="F5" s="16"/>
    </row>
    <row r="6" spans="1:9" ht="27.75" customHeight="1">
      <c r="A6" s="17" t="s">
        <v>7</v>
      </c>
      <c r="B6" s="18" t="s">
        <v>8</v>
      </c>
      <c r="C6" s="17" t="s">
        <v>9</v>
      </c>
      <c r="D6" s="19">
        <v>0</v>
      </c>
      <c r="E6" s="72">
        <v>6000000</v>
      </c>
      <c r="F6" s="20">
        <f>+D6*E6</f>
        <v>0</v>
      </c>
    </row>
    <row r="7" spans="1:9" ht="27.75" customHeight="1">
      <c r="A7" s="17" t="s">
        <v>10</v>
      </c>
      <c r="B7" s="18" t="s">
        <v>11</v>
      </c>
      <c r="C7" s="17" t="s">
        <v>9</v>
      </c>
      <c r="D7" s="19">
        <v>0</v>
      </c>
      <c r="E7" s="72">
        <v>7000000</v>
      </c>
      <c r="F7" s="20">
        <f>+D7*E7</f>
        <v>0</v>
      </c>
    </row>
    <row r="8" spans="1:9" ht="27.75" customHeight="1">
      <c r="A8" s="21"/>
      <c r="B8" s="156" t="s">
        <v>12</v>
      </c>
      <c r="C8" s="156"/>
      <c r="D8" s="156"/>
      <c r="E8" s="157"/>
      <c r="F8" s="67">
        <f>SUM(F6:F7)</f>
        <v>0</v>
      </c>
    </row>
    <row r="9" spans="1:9" s="28" customFormat="1" ht="27" customHeight="1">
      <c r="A9" s="25">
        <v>2</v>
      </c>
      <c r="B9" s="25" t="s">
        <v>87</v>
      </c>
      <c r="C9" s="26"/>
      <c r="D9" s="14"/>
      <c r="E9" s="27"/>
      <c r="F9" s="27"/>
    </row>
    <row r="10" spans="1:9" s="28" customFormat="1" ht="42" customHeight="1">
      <c r="A10" s="29" t="s">
        <v>50</v>
      </c>
      <c r="B10" s="30" t="s">
        <v>121</v>
      </c>
      <c r="C10" s="29" t="s">
        <v>20</v>
      </c>
      <c r="D10" s="96">
        <v>16</v>
      </c>
      <c r="E10" s="32">
        <v>24000</v>
      </c>
      <c r="F10" s="32">
        <f>+D10*E10</f>
        <v>384000</v>
      </c>
    </row>
    <row r="11" spans="1:9" s="28" customFormat="1" ht="40.5" customHeight="1">
      <c r="A11" s="29" t="s">
        <v>51</v>
      </c>
      <c r="B11" s="101" t="s">
        <v>116</v>
      </c>
      <c r="C11" s="29" t="s">
        <v>20</v>
      </c>
      <c r="D11" s="96">
        <f>D10/2.2</f>
        <v>7.2727272727272725</v>
      </c>
      <c r="E11" s="32">
        <v>30000</v>
      </c>
      <c r="F11" s="32">
        <f>+D11*E11</f>
        <v>218181.81818181818</v>
      </c>
    </row>
    <row r="12" spans="1:9" s="28" customFormat="1" ht="27" customHeight="1">
      <c r="A12" s="161" t="s">
        <v>88</v>
      </c>
      <c r="B12" s="162"/>
      <c r="C12" s="162"/>
      <c r="D12" s="162"/>
      <c r="E12" s="163"/>
      <c r="F12" s="95">
        <f>SUM(F10:F11)</f>
        <v>602181.81818181812</v>
      </c>
    </row>
    <row r="13" spans="1:9" ht="27.75" customHeight="1">
      <c r="A13" s="12">
        <v>3</v>
      </c>
      <c r="B13" s="12" t="s">
        <v>13</v>
      </c>
      <c r="C13" s="13"/>
      <c r="D13" s="14"/>
      <c r="E13" s="15"/>
      <c r="F13" s="16"/>
    </row>
    <row r="14" spans="1:9" s="28" customFormat="1" ht="46.5" customHeight="1">
      <c r="A14" s="29" t="s">
        <v>18</v>
      </c>
      <c r="B14" s="30" t="s">
        <v>65</v>
      </c>
      <c r="C14" s="29" t="s">
        <v>20</v>
      </c>
      <c r="D14" s="31">
        <v>2.92</v>
      </c>
      <c r="E14" s="32">
        <v>300000</v>
      </c>
      <c r="F14" s="32">
        <f>E14*D14</f>
        <v>876000</v>
      </c>
    </row>
    <row r="15" spans="1:9" s="28" customFormat="1" ht="48.75" customHeight="1">
      <c r="A15" s="29" t="s">
        <v>21</v>
      </c>
      <c r="B15" s="30" t="s">
        <v>122</v>
      </c>
      <c r="C15" s="29" t="s">
        <v>20</v>
      </c>
      <c r="D15" s="31">
        <f>D14*2</f>
        <v>5.84</v>
      </c>
      <c r="E15" s="32">
        <v>380000</v>
      </c>
      <c r="F15" s="32">
        <f t="shared" ref="F15:F21" si="0">+D15*E15</f>
        <v>2219200</v>
      </c>
    </row>
    <row r="16" spans="1:9" s="28" customFormat="1" ht="35.25" customHeight="1">
      <c r="A16" s="29" t="s">
        <v>24</v>
      </c>
      <c r="B16" s="30" t="s">
        <v>19</v>
      </c>
      <c r="C16" s="94" t="s">
        <v>85</v>
      </c>
      <c r="D16" s="31">
        <v>2.36</v>
      </c>
      <c r="E16" s="32">
        <v>600000</v>
      </c>
      <c r="F16" s="32">
        <f t="shared" si="0"/>
        <v>1416000</v>
      </c>
      <c r="H16" s="33"/>
      <c r="I16" s="33"/>
    </row>
    <row r="17" spans="1:10" s="28" customFormat="1" ht="47.25" customHeight="1">
      <c r="A17" s="29" t="s">
        <v>74</v>
      </c>
      <c r="B17" s="30" t="s">
        <v>22</v>
      </c>
      <c r="C17" s="29" t="s">
        <v>23</v>
      </c>
      <c r="D17" s="31">
        <f>D16*90</f>
        <v>212.39999999999998</v>
      </c>
      <c r="E17" s="32">
        <v>12000</v>
      </c>
      <c r="F17" s="32">
        <f t="shared" si="0"/>
        <v>2548799.9999999995</v>
      </c>
    </row>
    <row r="18" spans="1:10" s="28" customFormat="1" ht="40.5" customHeight="1">
      <c r="A18" s="29" t="s">
        <v>76</v>
      </c>
      <c r="B18" s="30" t="s">
        <v>25</v>
      </c>
      <c r="C18" s="29" t="s">
        <v>26</v>
      </c>
      <c r="D18" s="31">
        <f>D16*14.2</f>
        <v>33.511999999999993</v>
      </c>
      <c r="E18" s="32">
        <v>25000</v>
      </c>
      <c r="F18" s="32">
        <f t="shared" si="0"/>
        <v>837799.99999999988</v>
      </c>
    </row>
    <row r="19" spans="1:10" s="28" customFormat="1" ht="48.75" customHeight="1">
      <c r="A19" s="29" t="s">
        <v>89</v>
      </c>
      <c r="B19" s="30" t="s">
        <v>54</v>
      </c>
      <c r="C19" s="29" t="s">
        <v>20</v>
      </c>
      <c r="D19" s="31">
        <v>8.4649999999999999</v>
      </c>
      <c r="E19" s="32">
        <v>110000</v>
      </c>
      <c r="F19" s="32">
        <f t="shared" si="0"/>
        <v>931150</v>
      </c>
    </row>
    <row r="20" spans="1:10" s="28" customFormat="1" ht="33.75" customHeight="1">
      <c r="A20" s="29" t="s">
        <v>90</v>
      </c>
      <c r="B20" s="30" t="s">
        <v>66</v>
      </c>
      <c r="C20" s="29" t="s">
        <v>20</v>
      </c>
      <c r="D20" s="31">
        <v>3.31</v>
      </c>
      <c r="E20" s="72">
        <v>480000</v>
      </c>
      <c r="F20" s="32">
        <f t="shared" si="0"/>
        <v>1588800</v>
      </c>
    </row>
    <row r="21" spans="1:10" ht="49.5" customHeight="1">
      <c r="A21" s="29" t="s">
        <v>91</v>
      </c>
      <c r="B21" s="22" t="s">
        <v>14</v>
      </c>
      <c r="C21" s="23" t="s">
        <v>15</v>
      </c>
      <c r="D21" s="31">
        <v>58.6</v>
      </c>
      <c r="E21" s="72">
        <v>0</v>
      </c>
      <c r="F21" s="20">
        <f t="shared" si="0"/>
        <v>0</v>
      </c>
    </row>
    <row r="22" spans="1:10" ht="21" customHeight="1">
      <c r="A22" s="21"/>
      <c r="B22" s="156" t="s">
        <v>16</v>
      </c>
      <c r="C22" s="156"/>
      <c r="D22" s="156"/>
      <c r="E22" s="157"/>
      <c r="F22" s="24">
        <f>SUM(F14:F21)</f>
        <v>10417750</v>
      </c>
    </row>
    <row r="23" spans="1:10" s="28" customFormat="1" ht="30" customHeight="1">
      <c r="A23" s="25">
        <v>4</v>
      </c>
      <c r="B23" s="25" t="s">
        <v>17</v>
      </c>
      <c r="C23" s="26"/>
      <c r="D23" s="14"/>
      <c r="E23" s="27"/>
      <c r="F23" s="27"/>
    </row>
    <row r="24" spans="1:10" s="28" customFormat="1" ht="35.25" customHeight="1">
      <c r="A24" s="29" t="s">
        <v>61</v>
      </c>
      <c r="B24" s="30" t="s">
        <v>19</v>
      </c>
      <c r="C24" s="29" t="s">
        <v>20</v>
      </c>
      <c r="D24" s="31">
        <f>9.87+2</f>
        <v>11.87</v>
      </c>
      <c r="E24" s="32">
        <v>600000</v>
      </c>
      <c r="F24" s="32">
        <f>+D24*E24</f>
        <v>7121999.9999999991</v>
      </c>
      <c r="H24" s="33"/>
      <c r="I24" s="33"/>
    </row>
    <row r="25" spans="1:10" s="28" customFormat="1" ht="47.25" customHeight="1">
      <c r="A25" s="29" t="s">
        <v>62</v>
      </c>
      <c r="B25" s="30" t="s">
        <v>22</v>
      </c>
      <c r="C25" s="29" t="s">
        <v>23</v>
      </c>
      <c r="D25" s="31">
        <f>D24*90</f>
        <v>1068.3</v>
      </c>
      <c r="E25" s="32">
        <v>12000</v>
      </c>
      <c r="F25" s="32">
        <f>+D25*E25</f>
        <v>12819600</v>
      </c>
    </row>
    <row r="26" spans="1:10" s="28" customFormat="1" ht="40.5" customHeight="1">
      <c r="A26" s="29" t="s">
        <v>63</v>
      </c>
      <c r="B26" s="30" t="s">
        <v>25</v>
      </c>
      <c r="C26" s="29" t="s">
        <v>26</v>
      </c>
      <c r="D26" s="31">
        <f>D24*14.2</f>
        <v>168.55399999999997</v>
      </c>
      <c r="E26" s="32">
        <v>25000</v>
      </c>
      <c r="F26" s="32">
        <f>+D26*E26</f>
        <v>4213849.9999999991</v>
      </c>
    </row>
    <row r="27" spans="1:10" s="28" customFormat="1" ht="28.5" customHeight="1">
      <c r="A27" s="161" t="s">
        <v>27</v>
      </c>
      <c r="B27" s="162"/>
      <c r="C27" s="162"/>
      <c r="D27" s="162"/>
      <c r="E27" s="163"/>
      <c r="F27" s="35">
        <f>SUM(F24:F26)</f>
        <v>24155450</v>
      </c>
    </row>
    <row r="28" spans="1:10" s="28" customFormat="1" ht="15">
      <c r="A28" s="25">
        <v>5</v>
      </c>
      <c r="B28" s="43" t="s">
        <v>32</v>
      </c>
      <c r="C28" s="43"/>
      <c r="D28" s="14"/>
      <c r="E28" s="27"/>
      <c r="F28" s="27"/>
    </row>
    <row r="29" spans="1:10" s="28" customFormat="1" ht="28.5">
      <c r="A29" s="44" t="s">
        <v>33</v>
      </c>
      <c r="B29" s="63" t="s">
        <v>34</v>
      </c>
      <c r="C29" s="45" t="s">
        <v>30</v>
      </c>
      <c r="D29" s="34">
        <v>32.56</v>
      </c>
      <c r="E29" s="46">
        <v>43513.586869821607</v>
      </c>
      <c r="F29" s="32">
        <f>+D29*E29</f>
        <v>1416802.3884813916</v>
      </c>
    </row>
    <row r="30" spans="1:10" s="28" customFormat="1" ht="42.75">
      <c r="A30" s="44" t="s">
        <v>35</v>
      </c>
      <c r="B30" s="63" t="s">
        <v>39</v>
      </c>
      <c r="C30" s="45" t="s">
        <v>30</v>
      </c>
      <c r="D30" s="34">
        <v>32.56</v>
      </c>
      <c r="E30" s="46">
        <v>28451.19141488336</v>
      </c>
      <c r="F30" s="32">
        <f>+D30*E30</f>
        <v>926370.7924686023</v>
      </c>
    </row>
    <row r="31" spans="1:10" customFormat="1" ht="34.5" customHeight="1">
      <c r="A31" s="44" t="s">
        <v>37</v>
      </c>
      <c r="B31" s="105" t="s">
        <v>77</v>
      </c>
      <c r="C31" s="69" t="s">
        <v>36</v>
      </c>
      <c r="D31" s="34">
        <v>38.4</v>
      </c>
      <c r="E31" s="70">
        <v>38492.788384842192</v>
      </c>
      <c r="F31" s="71">
        <f>+D31*E31</f>
        <v>1478123.07397794</v>
      </c>
    </row>
    <row r="32" spans="1:10" s="28" customFormat="1" ht="30" customHeight="1">
      <c r="A32" s="44" t="s">
        <v>38</v>
      </c>
      <c r="B32" s="63" t="s">
        <v>75</v>
      </c>
      <c r="C32" s="45" t="s">
        <v>36</v>
      </c>
      <c r="D32" s="34">
        <v>10.4</v>
      </c>
      <c r="E32" s="91">
        <v>87863.973487139781</v>
      </c>
      <c r="F32" s="71">
        <f>+D32*E32</f>
        <v>913785.32426625374</v>
      </c>
      <c r="G32" s="90"/>
      <c r="J32" s="89"/>
    </row>
    <row r="33" spans="1:18" s="28" customFormat="1" ht="21" customHeight="1">
      <c r="A33" s="161" t="s">
        <v>40</v>
      </c>
      <c r="B33" s="162"/>
      <c r="C33" s="162"/>
      <c r="D33" s="162"/>
      <c r="E33" s="163"/>
      <c r="F33" s="35">
        <f>SUM(F29:F32)</f>
        <v>4735081.5791941881</v>
      </c>
    </row>
    <row r="34" spans="1:18" ht="20.25" customHeight="1">
      <c r="A34" s="12">
        <v>6</v>
      </c>
      <c r="B34" s="36" t="s">
        <v>28</v>
      </c>
      <c r="C34" s="36"/>
      <c r="D34" s="37"/>
      <c r="E34" s="38"/>
      <c r="F34" s="16"/>
    </row>
    <row r="35" spans="1:18" ht="28.5">
      <c r="A35" s="39" t="s">
        <v>55</v>
      </c>
      <c r="B35" s="61" t="s">
        <v>187</v>
      </c>
      <c r="C35" s="40" t="s">
        <v>30</v>
      </c>
      <c r="D35" s="41">
        <v>82.56</v>
      </c>
      <c r="E35" s="42">
        <v>50000</v>
      </c>
      <c r="F35" s="20">
        <f>+D35*E35</f>
        <v>4128000</v>
      </c>
    </row>
    <row r="36" spans="1:18" ht="42.75">
      <c r="A36" s="39" t="s">
        <v>56</v>
      </c>
      <c r="B36" s="62" t="s">
        <v>29</v>
      </c>
      <c r="C36" s="40" t="s">
        <v>30</v>
      </c>
      <c r="D36" s="41">
        <f>D35*2.2</f>
        <v>181.63200000000003</v>
      </c>
      <c r="E36" s="42">
        <v>25000</v>
      </c>
      <c r="F36" s="20">
        <f>+D36*E36</f>
        <v>4540800.0000000009</v>
      </c>
    </row>
    <row r="37" spans="1:18" ht="42.75">
      <c r="A37" s="121">
        <v>6.3</v>
      </c>
      <c r="B37" s="123" t="s">
        <v>185</v>
      </c>
      <c r="C37" s="124" t="s">
        <v>30</v>
      </c>
      <c r="D37" s="125">
        <f>D42*0.3</f>
        <v>17.579999999999998</v>
      </c>
      <c r="E37" s="126">
        <v>10000</v>
      </c>
      <c r="F37" s="122">
        <f>D37*E37</f>
        <v>175799.99999999997</v>
      </c>
    </row>
    <row r="38" spans="1:18" ht="21" customHeight="1">
      <c r="A38" s="21"/>
      <c r="B38" s="167" t="s">
        <v>31</v>
      </c>
      <c r="C38" s="167"/>
      <c r="D38" s="167"/>
      <c r="E38" s="168"/>
      <c r="F38" s="24">
        <f>SUM(F35:F37)</f>
        <v>8844600</v>
      </c>
    </row>
    <row r="39" spans="1:18" ht="19.5" customHeight="1">
      <c r="A39" s="12">
        <v>7</v>
      </c>
      <c r="B39" s="36" t="s">
        <v>41</v>
      </c>
      <c r="C39" s="36"/>
      <c r="D39" s="37"/>
      <c r="E39" s="38"/>
      <c r="F39" s="16"/>
    </row>
    <row r="40" spans="1:18" ht="19.5" customHeight="1">
      <c r="A40" s="39" t="s">
        <v>59</v>
      </c>
      <c r="B40" s="61" t="s">
        <v>42</v>
      </c>
      <c r="C40" s="40" t="s">
        <v>30</v>
      </c>
      <c r="D40" s="41">
        <f>D41</f>
        <v>108.97920000000002</v>
      </c>
      <c r="E40" s="47">
        <v>9000</v>
      </c>
      <c r="F40" s="20">
        <f>+D40*E40</f>
        <v>980812.80000000016</v>
      </c>
    </row>
    <row r="41" spans="1:18" ht="26.25" customHeight="1">
      <c r="A41" s="39" t="s">
        <v>60</v>
      </c>
      <c r="B41" s="61" t="s">
        <v>43</v>
      </c>
      <c r="C41" s="40" t="s">
        <v>30</v>
      </c>
      <c r="D41" s="41">
        <f>D36*0.6</f>
        <v>108.97920000000002</v>
      </c>
      <c r="E41" s="47">
        <v>8000</v>
      </c>
      <c r="F41" s="20">
        <f>+D41*E41</f>
        <v>871833.60000000021</v>
      </c>
      <c r="I41" s="48"/>
    </row>
    <row r="42" spans="1:18" ht="27.75" customHeight="1">
      <c r="A42" s="39" t="s">
        <v>80</v>
      </c>
      <c r="B42" s="61" t="s">
        <v>44</v>
      </c>
      <c r="C42" s="40" t="s">
        <v>30</v>
      </c>
      <c r="D42" s="41">
        <f>D21</f>
        <v>58.6</v>
      </c>
      <c r="E42" s="47">
        <v>8000</v>
      </c>
      <c r="F42" s="20">
        <f>+D42*E42</f>
        <v>468800</v>
      </c>
    </row>
    <row r="43" spans="1:18" ht="27.75" customHeight="1">
      <c r="A43" s="39">
        <v>7.5</v>
      </c>
      <c r="B43" s="61" t="s">
        <v>157</v>
      </c>
      <c r="C43" s="40" t="s">
        <v>30</v>
      </c>
      <c r="D43" s="41">
        <f>D21</f>
        <v>58.6</v>
      </c>
      <c r="E43" s="47">
        <v>15000</v>
      </c>
      <c r="F43" s="20">
        <f>D43*E43</f>
        <v>879000</v>
      </c>
    </row>
    <row r="44" spans="1:18" ht="36" customHeight="1">
      <c r="A44" s="39" t="s">
        <v>81</v>
      </c>
      <c r="B44" s="61" t="s">
        <v>127</v>
      </c>
      <c r="C44" s="40" t="s">
        <v>30</v>
      </c>
      <c r="D44" s="41">
        <f>12.4*2</f>
        <v>24.8</v>
      </c>
      <c r="E44" s="42">
        <v>15000</v>
      </c>
      <c r="F44" s="20">
        <f>+D44*E44</f>
        <v>372000</v>
      </c>
    </row>
    <row r="45" spans="1:18" s="28" customFormat="1" ht="18" customHeight="1">
      <c r="A45" s="169" t="s">
        <v>45</v>
      </c>
      <c r="B45" s="170"/>
      <c r="C45" s="170"/>
      <c r="D45" s="170"/>
      <c r="E45" s="171"/>
      <c r="F45" s="35">
        <f>SUM(F40:F44)</f>
        <v>3572446.4000000004</v>
      </c>
    </row>
    <row r="46" spans="1:18" ht="17.25" customHeight="1">
      <c r="A46" s="12">
        <v>8</v>
      </c>
      <c r="B46" s="36" t="s">
        <v>46</v>
      </c>
      <c r="C46" s="36"/>
      <c r="D46" s="37"/>
      <c r="E46" s="38"/>
      <c r="F46" s="16"/>
    </row>
    <row r="47" spans="1:18" s="53" customFormat="1" ht="22.5" customHeight="1">
      <c r="A47" s="49" t="s">
        <v>82</v>
      </c>
      <c r="B47" s="64" t="s">
        <v>184</v>
      </c>
      <c r="C47" s="50" t="s">
        <v>49</v>
      </c>
      <c r="D47" s="51">
        <v>2</v>
      </c>
      <c r="E47" s="52">
        <v>900000</v>
      </c>
      <c r="F47" s="59">
        <f>SUM(D47*E47)</f>
        <v>1800000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60"/>
    </row>
    <row r="48" spans="1:18" s="53" customFormat="1" ht="23.25" customHeight="1">
      <c r="A48" s="49" t="s">
        <v>83</v>
      </c>
      <c r="B48" s="64" t="s">
        <v>118</v>
      </c>
      <c r="C48" s="50" t="s">
        <v>49</v>
      </c>
      <c r="D48" s="51">
        <v>4</v>
      </c>
      <c r="E48" s="52">
        <v>500000</v>
      </c>
      <c r="F48" s="59">
        <f>SUM(D48*E48)</f>
        <v>2000000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0"/>
    </row>
    <row r="49" spans="1:6" s="28" customFormat="1" ht="32.25" customHeight="1">
      <c r="A49" s="132">
        <v>8.3000000000000007</v>
      </c>
      <c r="B49" s="133" t="s">
        <v>167</v>
      </c>
      <c r="C49" s="134" t="s">
        <v>36</v>
      </c>
      <c r="D49" s="135">
        <v>7</v>
      </c>
      <c r="E49" s="136">
        <v>200000</v>
      </c>
      <c r="F49" s="122">
        <f>D49*E49</f>
        <v>1400000</v>
      </c>
    </row>
    <row r="50" spans="1:6" s="28" customFormat="1" ht="15">
      <c r="A50" s="161" t="s">
        <v>47</v>
      </c>
      <c r="B50" s="162"/>
      <c r="C50" s="162"/>
      <c r="D50" s="162"/>
      <c r="E50" s="163"/>
      <c r="F50" s="68">
        <f>SUM(F47:F49)</f>
        <v>5200000</v>
      </c>
    </row>
    <row r="51" spans="1:6" s="28" customFormat="1" ht="20.25" customHeight="1">
      <c r="A51" s="25">
        <v>9</v>
      </c>
      <c r="B51" s="43" t="s">
        <v>92</v>
      </c>
      <c r="C51" s="43"/>
      <c r="D51" s="14"/>
      <c r="E51" s="27"/>
      <c r="F51" s="27"/>
    </row>
    <row r="52" spans="1:6" s="28" customFormat="1" ht="24" customHeight="1">
      <c r="A52" s="44" t="s">
        <v>97</v>
      </c>
      <c r="B52" s="63" t="s">
        <v>147</v>
      </c>
      <c r="C52" s="45" t="s">
        <v>2</v>
      </c>
      <c r="D52" s="97">
        <v>1</v>
      </c>
      <c r="E52" s="93">
        <v>500000</v>
      </c>
      <c r="F52" s="32">
        <f t="shared" ref="F52:F55" si="1">+D52*E52</f>
        <v>500000</v>
      </c>
    </row>
    <row r="53" spans="1:6" s="28" customFormat="1" ht="24" customHeight="1">
      <c r="A53" s="44" t="s">
        <v>98</v>
      </c>
      <c r="B53" s="63" t="s">
        <v>93</v>
      </c>
      <c r="C53" s="45" t="s">
        <v>2</v>
      </c>
      <c r="D53" s="97">
        <v>2</v>
      </c>
      <c r="E53" s="93">
        <v>250000</v>
      </c>
      <c r="F53" s="32">
        <f t="shared" si="1"/>
        <v>500000</v>
      </c>
    </row>
    <row r="54" spans="1:6" s="28" customFormat="1" ht="25.5" customHeight="1">
      <c r="A54" s="44" t="s">
        <v>99</v>
      </c>
      <c r="B54" s="63" t="s">
        <v>94</v>
      </c>
      <c r="C54" s="45" t="s">
        <v>2</v>
      </c>
      <c r="D54" s="97">
        <v>2</v>
      </c>
      <c r="E54" s="93">
        <v>20000</v>
      </c>
      <c r="F54" s="32">
        <f t="shared" si="1"/>
        <v>40000</v>
      </c>
    </row>
    <row r="55" spans="1:6" s="28" customFormat="1" ht="20.25" customHeight="1">
      <c r="A55" s="44" t="s">
        <v>100</v>
      </c>
      <c r="B55" s="63" t="s">
        <v>95</v>
      </c>
      <c r="C55" s="45" t="s">
        <v>2</v>
      </c>
      <c r="D55" s="97">
        <v>4</v>
      </c>
      <c r="E55" s="93">
        <v>30000</v>
      </c>
      <c r="F55" s="32">
        <f t="shared" si="1"/>
        <v>120000</v>
      </c>
    </row>
    <row r="56" spans="1:6" s="28" customFormat="1" ht="20.25" customHeight="1">
      <c r="A56" s="44" t="s">
        <v>105</v>
      </c>
      <c r="B56" s="63" t="s">
        <v>119</v>
      </c>
      <c r="C56" s="100" t="s">
        <v>36</v>
      </c>
      <c r="D56" s="97">
        <v>60</v>
      </c>
      <c r="E56" s="93">
        <v>10000</v>
      </c>
      <c r="F56" s="32">
        <f t="shared" ref="F56:F57" si="2">+E56*D56</f>
        <v>600000</v>
      </c>
    </row>
    <row r="57" spans="1:6" s="28" customFormat="1" ht="20.25" customHeight="1">
      <c r="A57" s="44" t="s">
        <v>107</v>
      </c>
      <c r="B57" s="63" t="s">
        <v>106</v>
      </c>
      <c r="C57" s="100" t="s">
        <v>36</v>
      </c>
      <c r="D57" s="97">
        <v>80</v>
      </c>
      <c r="E57" s="93">
        <v>9000</v>
      </c>
      <c r="F57" s="32">
        <f t="shared" si="2"/>
        <v>720000</v>
      </c>
    </row>
    <row r="58" spans="1:6" s="28" customFormat="1" ht="20.25" customHeight="1">
      <c r="A58" s="44" t="s">
        <v>109</v>
      </c>
      <c r="B58" s="63" t="s">
        <v>108</v>
      </c>
      <c r="C58" s="100" t="s">
        <v>36</v>
      </c>
      <c r="D58" s="97">
        <f>D56+D57</f>
        <v>140</v>
      </c>
      <c r="E58" s="93">
        <v>3000</v>
      </c>
      <c r="F58" s="32">
        <f t="shared" ref="F58:F59" si="3">+E58*D58</f>
        <v>420000</v>
      </c>
    </row>
    <row r="59" spans="1:6" s="28" customFormat="1" ht="21" customHeight="1">
      <c r="A59" s="44" t="s">
        <v>153</v>
      </c>
      <c r="B59" s="112" t="s">
        <v>152</v>
      </c>
      <c r="C59" s="114" t="s">
        <v>49</v>
      </c>
      <c r="D59" s="120">
        <v>4</v>
      </c>
      <c r="E59" s="118">
        <v>130000</v>
      </c>
      <c r="F59" s="32">
        <f t="shared" si="3"/>
        <v>520000</v>
      </c>
    </row>
    <row r="60" spans="1:6" ht="24.75" customHeight="1">
      <c r="A60" s="161" t="s">
        <v>96</v>
      </c>
      <c r="B60" s="162"/>
      <c r="C60" s="162"/>
      <c r="D60" s="162"/>
      <c r="E60" s="163"/>
      <c r="F60" s="95">
        <f>SUM(F51:F59)</f>
        <v>3420000</v>
      </c>
    </row>
    <row r="61" spans="1:6" ht="15">
      <c r="A61" s="154"/>
      <c r="B61" s="155"/>
      <c r="C61" s="164" t="s">
        <v>120</v>
      </c>
      <c r="D61" s="165"/>
      <c r="E61" s="166"/>
      <c r="F61" s="110">
        <f>SUM(F50+F22+F8+F33+F27+F45+F60+F38+F12)</f>
        <v>60947509.797376007</v>
      </c>
    </row>
    <row r="62" spans="1:6" ht="28.15" customHeight="1">
      <c r="A62" s="54"/>
      <c r="B62" s="65"/>
      <c r="C62" s="55"/>
      <c r="D62" s="98"/>
      <c r="E62" s="55"/>
      <c r="F62" s="56"/>
    </row>
    <row r="63" spans="1:6" ht="15">
      <c r="A63" s="54"/>
      <c r="B63" s="160"/>
      <c r="C63" s="160"/>
      <c r="D63" s="160"/>
      <c r="E63" s="160"/>
      <c r="F63" s="56"/>
    </row>
    <row r="64" spans="1:6" ht="17.25">
      <c r="A64" s="150" t="s">
        <v>159</v>
      </c>
      <c r="B64" s="151"/>
      <c r="C64" s="151"/>
    </row>
    <row r="65" spans="1:6">
      <c r="A65" s="127" t="s">
        <v>0</v>
      </c>
      <c r="B65" s="128" t="s">
        <v>160</v>
      </c>
      <c r="C65" s="127" t="s">
        <v>71</v>
      </c>
      <c r="D65" s="99"/>
      <c r="E65" s="57"/>
      <c r="F65" s="58" t="s">
        <v>48</v>
      </c>
    </row>
    <row r="66" spans="1:6">
      <c r="A66" s="129">
        <v>1</v>
      </c>
      <c r="B66" s="129" t="s">
        <v>6</v>
      </c>
      <c r="C66" s="130">
        <f>F8</f>
        <v>0</v>
      </c>
    </row>
    <row r="67" spans="1:6">
      <c r="A67" s="129">
        <v>2</v>
      </c>
      <c r="B67" s="129" t="s">
        <v>87</v>
      </c>
      <c r="C67" s="130">
        <f>F12</f>
        <v>602181.81818181812</v>
      </c>
    </row>
    <row r="68" spans="1:6">
      <c r="A68" s="129">
        <v>3</v>
      </c>
      <c r="B68" s="129" t="s">
        <v>161</v>
      </c>
      <c r="C68" s="130">
        <f>F22</f>
        <v>10417750</v>
      </c>
    </row>
    <row r="69" spans="1:6">
      <c r="A69" s="129">
        <v>4</v>
      </c>
      <c r="B69" s="129" t="s">
        <v>162</v>
      </c>
      <c r="C69" s="130">
        <f>F27</f>
        <v>24155450</v>
      </c>
    </row>
    <row r="70" spans="1:6">
      <c r="A70" s="129">
        <v>5</v>
      </c>
      <c r="B70" s="129" t="s">
        <v>163</v>
      </c>
      <c r="C70" s="130">
        <f>F33</f>
        <v>4735081.5791941881</v>
      </c>
    </row>
    <row r="71" spans="1:6">
      <c r="A71" s="129">
        <v>6</v>
      </c>
      <c r="B71" s="129" t="s">
        <v>164</v>
      </c>
      <c r="C71" s="130">
        <f>F38</f>
        <v>8844600</v>
      </c>
    </row>
    <row r="72" spans="1:6">
      <c r="A72" s="129">
        <v>7</v>
      </c>
      <c r="B72" s="129" t="s">
        <v>41</v>
      </c>
      <c r="C72" s="130">
        <f>F45</f>
        <v>3572446.4000000004</v>
      </c>
    </row>
    <row r="73" spans="1:6">
      <c r="A73" s="129">
        <v>8</v>
      </c>
      <c r="B73" s="129" t="s">
        <v>165</v>
      </c>
      <c r="C73" s="130">
        <f>F50</f>
        <v>5200000</v>
      </c>
    </row>
    <row r="74" spans="1:6">
      <c r="A74" s="129">
        <v>9</v>
      </c>
      <c r="B74" s="129" t="s">
        <v>92</v>
      </c>
      <c r="C74" s="130">
        <f>F60</f>
        <v>3420000</v>
      </c>
    </row>
    <row r="75" spans="1:6" ht="15">
      <c r="A75" s="152" t="s">
        <v>166</v>
      </c>
      <c r="B75" s="153"/>
      <c r="C75" s="131">
        <f>SUM(C66:C74)</f>
        <v>60947509.797376007</v>
      </c>
    </row>
    <row r="77" spans="1:6" ht="15">
      <c r="A77" s="148" t="s">
        <v>195</v>
      </c>
    </row>
  </sheetData>
  <mergeCells count="16">
    <mergeCell ref="A64:C64"/>
    <mergeCell ref="A75:B75"/>
    <mergeCell ref="A61:B61"/>
    <mergeCell ref="B8:E8"/>
    <mergeCell ref="B2:F2"/>
    <mergeCell ref="B63:E63"/>
    <mergeCell ref="A12:E12"/>
    <mergeCell ref="A60:E60"/>
    <mergeCell ref="C61:E61"/>
    <mergeCell ref="B38:E38"/>
    <mergeCell ref="B22:E22"/>
    <mergeCell ref="B3:F3"/>
    <mergeCell ref="A27:E27"/>
    <mergeCell ref="A33:E33"/>
    <mergeCell ref="A45:E45"/>
    <mergeCell ref="A50:E50"/>
  </mergeCells>
  <phoneticPr fontId="27" type="noConversion"/>
  <printOptions horizontalCentered="1"/>
  <pageMargins left="0.25" right="0.25" top="0.75" bottom="0.75" header="0.3" footer="0.3"/>
  <pageSetup paperSize="9" scale="31" fitToHeight="0" orientation="portrait" r:id="rId1"/>
  <headerFooter>
    <oddFooter>Page &amp;P de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tabSelected="1" zoomScale="91" zoomScaleNormal="91" workbookViewId="0">
      <selection activeCell="E11" sqref="E11"/>
    </sheetView>
  </sheetViews>
  <sheetFormatPr baseColWidth="10" defaultColWidth="10.7109375" defaultRowHeight="15"/>
  <cols>
    <col min="1" max="1" width="10.7109375" style="77" customWidth="1"/>
    <col min="2" max="2" width="59.42578125" style="77" customWidth="1"/>
    <col min="3" max="3" width="11.140625" style="77" customWidth="1"/>
    <col min="4" max="4" width="22.42578125" style="77" customWidth="1"/>
    <col min="5" max="5" width="38.28515625" style="77" customWidth="1"/>
    <col min="6" max="6" width="7.85546875" style="77" hidden="1" customWidth="1"/>
    <col min="7" max="7" width="28.85546875" style="77" customWidth="1"/>
    <col min="8" max="9" width="47.85546875" style="77" customWidth="1"/>
    <col min="10" max="16384" width="10.7109375" style="77"/>
  </cols>
  <sheetData>
    <row r="1" spans="1:8" s="73" customFormat="1" ht="80.25" customHeight="1">
      <c r="D1" s="74"/>
      <c r="F1" s="75"/>
    </row>
    <row r="2" spans="1:8" s="76" customFormat="1" ht="49.5" customHeight="1">
      <c r="A2" s="181" t="s">
        <v>156</v>
      </c>
      <c r="B2" s="182"/>
      <c r="C2" s="182"/>
      <c r="D2" s="182"/>
      <c r="E2" s="182"/>
      <c r="F2" s="183"/>
      <c r="G2" s="73"/>
    </row>
    <row r="3" spans="1:8" ht="20.25" customHeight="1">
      <c r="A3" s="146" t="s">
        <v>0</v>
      </c>
      <c r="B3" s="147" t="s">
        <v>68</v>
      </c>
      <c r="C3" s="146" t="s">
        <v>69</v>
      </c>
      <c r="D3" s="146" t="s">
        <v>70</v>
      </c>
      <c r="E3" s="146" t="s">
        <v>71</v>
      </c>
      <c r="G3" s="73"/>
    </row>
    <row r="4" spans="1:8" ht="24" customHeight="1">
      <c r="A4" s="78">
        <v>1</v>
      </c>
      <c r="B4" s="79" t="s">
        <v>168</v>
      </c>
      <c r="C4" s="80">
        <v>1</v>
      </c>
      <c r="D4" s="81">
        <f>+'DQE REHAB BAT A'!C85</f>
        <v>151512407.74136209</v>
      </c>
      <c r="E4" s="107">
        <f>C4*D4</f>
        <v>151512407.74136209</v>
      </c>
      <c r="G4" s="73"/>
      <c r="H4" s="82"/>
    </row>
    <row r="5" spans="1:8" ht="30" customHeight="1">
      <c r="A5" s="78">
        <f>A4+1</f>
        <v>2</v>
      </c>
      <c r="B5" s="79" t="s">
        <v>124</v>
      </c>
      <c r="C5" s="80">
        <v>1</v>
      </c>
      <c r="D5" s="81">
        <f>'DQE REHAB BAT B'!F62</f>
        <v>51975926.463972643</v>
      </c>
      <c r="E5" s="107">
        <f t="shared" ref="E5:E8" si="0">+D5*C5</f>
        <v>51975926.463972643</v>
      </c>
      <c r="G5" s="73"/>
    </row>
    <row r="6" spans="1:8" ht="24" customHeight="1">
      <c r="A6" s="78">
        <f t="shared" ref="A6:A9" si="1">A5+1</f>
        <v>3</v>
      </c>
      <c r="B6" s="79" t="s">
        <v>125</v>
      </c>
      <c r="C6" s="80">
        <v>1</v>
      </c>
      <c r="D6" s="81">
        <f>'DQE REHAB BAT C'!F62</f>
        <v>51975926.463972643</v>
      </c>
      <c r="E6" s="107">
        <f t="shared" si="0"/>
        <v>51975926.463972643</v>
      </c>
      <c r="G6" s="73"/>
      <c r="H6" s="82"/>
    </row>
    <row r="7" spans="1:8" ht="24" customHeight="1">
      <c r="A7" s="78">
        <f t="shared" si="1"/>
        <v>4</v>
      </c>
      <c r="B7" s="79" t="s">
        <v>112</v>
      </c>
      <c r="C7" s="80">
        <v>1</v>
      </c>
      <c r="D7" s="81">
        <f>'DQE REHAB BLOC SANITAIRE'!F62</f>
        <v>24663007.787897117</v>
      </c>
      <c r="E7" s="107">
        <f t="shared" si="0"/>
        <v>24663007.787897117</v>
      </c>
      <c r="G7" s="73"/>
      <c r="H7" s="82"/>
    </row>
    <row r="8" spans="1:8" ht="24" customHeight="1">
      <c r="A8" s="78">
        <f t="shared" si="1"/>
        <v>5</v>
      </c>
      <c r="B8" s="79" t="s">
        <v>149</v>
      </c>
      <c r="C8" s="80">
        <v>1</v>
      </c>
      <c r="D8" s="81">
        <f>'DQE LOCAL TECH'!F14</f>
        <v>6050000</v>
      </c>
      <c r="E8" s="107">
        <f t="shared" si="0"/>
        <v>6050000</v>
      </c>
      <c r="G8" s="73"/>
      <c r="H8" s="82"/>
    </row>
    <row r="9" spans="1:8" ht="24" customHeight="1">
      <c r="A9" s="78">
        <f t="shared" si="1"/>
        <v>6</v>
      </c>
      <c r="B9" s="79" t="s">
        <v>113</v>
      </c>
      <c r="C9" s="80">
        <v>1</v>
      </c>
      <c r="D9" s="108">
        <f>'DQE NOUV CONSTRUCTION'!F61</f>
        <v>60947509.797376007</v>
      </c>
      <c r="E9" s="107">
        <f>+D9*C9</f>
        <v>60947509.797376007</v>
      </c>
      <c r="G9" s="73"/>
      <c r="H9" s="82"/>
    </row>
    <row r="10" spans="1:8" ht="24.75" customHeight="1">
      <c r="A10" s="179" t="s">
        <v>72</v>
      </c>
      <c r="B10" s="180"/>
      <c r="C10" s="180"/>
      <c r="D10" s="180"/>
      <c r="E10" s="109">
        <f>SUM(E4:E9)</f>
        <v>347124778.25458044</v>
      </c>
      <c r="G10" s="73"/>
    </row>
    <row r="11" spans="1:8" ht="29.25" customHeight="1"/>
    <row r="12" spans="1:8" s="86" customFormat="1">
      <c r="A12" s="149" t="s">
        <v>190</v>
      </c>
      <c r="B12" s="83"/>
      <c r="C12" s="84"/>
      <c r="D12" s="84"/>
      <c r="E12" s="83"/>
      <c r="F12" s="85"/>
    </row>
    <row r="14" spans="1:8">
      <c r="E14" s="87" t="s">
        <v>73</v>
      </c>
    </row>
    <row r="17" spans="7:7">
      <c r="G17" s="88"/>
    </row>
  </sheetData>
  <mergeCells count="2">
    <mergeCell ref="A10:D10"/>
    <mergeCell ref="A2:F2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DQE REHAB BAT A</vt:lpstr>
      <vt:lpstr>DQE REHAB BAT B</vt:lpstr>
      <vt:lpstr>DQE REHAB BAT C</vt:lpstr>
      <vt:lpstr>DQE REHAB BLOC SANITAIRE</vt:lpstr>
      <vt:lpstr>DQE LOCAL TECH</vt:lpstr>
      <vt:lpstr>DQE NOUV CONSTRUCTION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Alaoy Raissa</dc:creator>
  <cp:lastModifiedBy>ECAE Orinasa</cp:lastModifiedBy>
  <dcterms:created xsi:type="dcterms:W3CDTF">2025-11-19T11:47:03Z</dcterms:created>
  <dcterms:modified xsi:type="dcterms:W3CDTF">2026-06-30T13:48:59Z</dcterms:modified>
</cp:coreProperties>
</file>